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4220" windowHeight="15620" tabRatio="500" firstSheet="0" activeTab="0" autoFilterDateGrouping="1"/>
  </bookViews>
  <sheets>
    <sheet xmlns:r="http://schemas.openxmlformats.org/officeDocument/2006/relationships" name="Rate Card" sheetId="1" state="visible" r:id="rId1"/>
    <sheet xmlns:r="http://schemas.openxmlformats.org/officeDocument/2006/relationships" name="Door Schedule" sheetId="2" state="visible" r:id="rId2"/>
    <sheet xmlns:r="http://schemas.openxmlformats.org/officeDocument/2006/relationships" name="Quote Sheet" sheetId="3" state="visible" r:id="rId3"/>
    <sheet xmlns:r="http://schemas.openxmlformats.org/officeDocument/2006/relationships" name="Material Call-Off" sheetId="4" state="visible" r:id="rId4"/>
    <sheet xmlns:r="http://schemas.openxmlformats.org/officeDocument/2006/relationships" name="Client Summary" sheetId="5" state="visible" r:id="rId5"/>
  </sheets>
  <definedNames/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\£#,##0.00;[Red]&quot;-£&quot;#,##0.00"/>
    <numFmt numFmtId="165" formatCode="0.0%"/>
  </numFmts>
  <fonts count="38">
    <font>
      <name val="Calibri"/>
      <charset val="1"/>
      <family val="2"/>
      <color theme="1"/>
      <sz val="11"/>
    </font>
    <font>
      <name val="Arial"/>
      <charset val="1"/>
      <b val="1"/>
      <color rgb="FF1F3864"/>
      <sz val="13"/>
    </font>
    <font>
      <name val="Arial"/>
      <charset val="1"/>
      <i val="1"/>
      <color rgb="FF555555"/>
      <sz val="9"/>
    </font>
    <font>
      <name val="Arial"/>
      <charset val="1"/>
      <i val="1"/>
      <color rgb="FF1D6A38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0"/>
    </font>
    <font>
      <name val="Arial"/>
      <charset val="1"/>
      <b val="1"/>
      <color rgb="FF2E75B6"/>
      <sz val="9"/>
    </font>
    <font>
      <name val="Arial"/>
      <charset val="1"/>
      <color rgb="FF333333"/>
      <sz val="9"/>
    </font>
    <font>
      <name val="Arial"/>
      <charset val="1"/>
      <color rgb="FF555555"/>
      <sz val="9"/>
    </font>
    <font>
      <name val="Arial"/>
      <charset val="1"/>
      <color rgb="FF0000FF"/>
      <sz val="9"/>
    </font>
    <font>
      <name val="Arial"/>
      <charset val="1"/>
      <b val="1"/>
      <color rgb="FF1F3864"/>
      <sz val="9"/>
    </font>
    <font>
      <name val="Arial"/>
      <charset val="1"/>
      <i val="1"/>
      <color rgb="FF666666"/>
      <sz val="8"/>
    </font>
    <font>
      <name val="Arial"/>
      <charset val="1"/>
      <b val="1"/>
      <color rgb="FF1D6A38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7F3F00"/>
      <sz val="9"/>
    </font>
    <font>
      <name val="Arial"/>
      <charset val="1"/>
      <b val="1"/>
      <color rgb="FFB71C1C"/>
      <sz val="9"/>
    </font>
    <font>
      <name val="Arial"/>
      <charset val="1"/>
      <color rgb="FF333333"/>
      <sz val="10"/>
    </font>
    <font>
      <name val="Arial"/>
      <charset val="1"/>
      <b val="1"/>
      <color rgb="FF333333"/>
      <sz val="9"/>
    </font>
    <font>
      <name val="Arial"/>
      <charset val="1"/>
      <b val="1"/>
      <color rgb="FF0000FF"/>
      <sz val="10"/>
    </font>
    <font>
      <name val="Arial"/>
      <charset val="1"/>
      <b val="1"/>
      <color rgb="FF7F3F00"/>
      <sz val="10"/>
    </font>
    <font>
      <name val="Arial"/>
      <charset val="1"/>
      <i val="1"/>
      <color rgb="FF666666"/>
      <sz val="9"/>
    </font>
    <font>
      <name val="Arial"/>
      <charset val="1"/>
      <color rgb="FF2E75B6"/>
      <sz val="9"/>
    </font>
    <font>
      <name val="Arial"/>
      <charset val="1"/>
      <color rgb="FF000000"/>
      <sz val="9"/>
    </font>
    <font>
      <name val="Arial"/>
      <charset val="1"/>
      <color rgb="FF888888"/>
      <sz val="9"/>
    </font>
    <font>
      <name val="Arial"/>
      <charset val="1"/>
      <b val="1"/>
      <color rgb="FF1D6A38"/>
      <sz val="10"/>
    </font>
    <font>
      <name val="Arial"/>
      <charset val="1"/>
      <b val="1"/>
      <color rgb="FFB71C1C"/>
      <sz val="10"/>
    </font>
    <font>
      <name val="Arial"/>
      <charset val="1"/>
      <color rgb="FFB71C1C"/>
      <sz val="9"/>
    </font>
    <font>
      <name val="Arial"/>
      <charset val="1"/>
      <color rgb="FF1D6A38"/>
      <sz val="9"/>
    </font>
    <font>
      <name val="Arial"/>
      <charset val="1"/>
      <b val="1"/>
      <color rgb="FFFFFFFF"/>
      <sz val="13"/>
    </font>
    <font>
      <name val="Arial"/>
      <charset val="1"/>
      <b val="1"/>
      <color rgb="FF333333"/>
      <sz val="10"/>
    </font>
    <font>
      <name val="Arial"/>
      <charset val="1"/>
      <i val="1"/>
      <color rgb="FF888888"/>
      <sz val="10"/>
    </font>
    <font>
      <name val="Arial"/>
      <charset val="1"/>
      <b val="1"/>
      <color rgb="FF333333"/>
      <sz val="12"/>
    </font>
    <font>
      <name val="Arial"/>
      <charset val="1"/>
      <b val="1"/>
      <color rgb="FF7F3F00"/>
      <sz val="12"/>
    </font>
    <font>
      <name val="Arial"/>
      <charset val="1"/>
      <b val="1"/>
      <color rgb="FF1D6A38"/>
      <sz val="12"/>
    </font>
    <font>
      <color rgb="000000FF"/>
    </font>
    <font>
      <b val="1"/>
    </font>
    <font>
      <i val="1"/>
    </font>
    <font>
      <b val="1"/>
      <i val="1"/>
    </font>
  </fonts>
  <fills count="25">
    <fill>
      <patternFill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E8F5EE"/>
        <bgColor rgb="FFE8F0FB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E8F0FB"/>
        <bgColor rgb="FFE8F5EE"/>
      </patternFill>
    </fill>
    <fill>
      <patternFill patternType="solid">
        <fgColor rgb="FFF5F5F5"/>
        <bgColor rgb="FFE8F5EE"/>
      </patternFill>
    </fill>
    <fill>
      <patternFill patternType="solid">
        <fgColor rgb="FFFFC000"/>
        <bgColor rgb="FFFF9900"/>
      </patternFill>
    </fill>
    <fill>
      <patternFill patternType="solid">
        <fgColor rgb="FFFDECEA"/>
        <bgColor rgb="FFFFF3E0"/>
      </patternFill>
    </fill>
    <fill>
      <patternFill patternType="solid">
        <fgColor rgb="FFFF0000"/>
        <bgColor rgb="FFB71C1C"/>
      </patternFill>
    </fill>
    <fill>
      <patternFill patternType="solid">
        <fgColor rgb="FFFFF3E0"/>
        <bgColor rgb="FFFFF3CD"/>
      </patternFill>
    </fill>
    <fill>
      <patternFill patternType="solid">
        <fgColor rgb="FFD9D9D9"/>
        <bgColor rgb="FFD6E4F0"/>
      </patternFill>
    </fill>
    <fill>
      <patternFill patternType="solid">
        <fgColor rgb="FFE97E2C"/>
        <bgColor rgb="FFFF9900"/>
      </patternFill>
    </fill>
    <fill>
      <patternFill patternType="solid">
        <fgColor rgb="FF1D6A38"/>
        <bgColor rgb="FF008080"/>
      </patternFill>
    </fill>
    <fill>
      <patternFill patternType="solid">
        <fgColor rgb="FFFFE0E0"/>
        <bgColor rgb="FFFDECEA"/>
      </patternFill>
    </fill>
    <fill>
      <patternFill patternType="solid">
        <fgColor rgb="FFFFF3CD"/>
        <bgColor rgb="FFFFF3E0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ED8B1"/>
        <bgColor rgb="00FED8B1"/>
      </patternFill>
    </fill>
  </fills>
  <borders count="5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7" fillId="17" borderId="1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165" fontId="18" fillId="5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left" vertical="center"/>
    </xf>
    <xf numFmtId="0" fontId="0" fillId="12" borderId="2" pivotButton="0" quotePrefix="0" xfId="0"/>
    <xf numFmtId="0" fontId="20" fillId="0" borderId="0" pivotButton="0" quotePrefix="0" xfId="0"/>
    <xf numFmtId="0" fontId="21" fillId="6" borderId="2" applyAlignment="1" pivotButton="0" quotePrefix="0" xfId="0">
      <alignment horizontal="center" vertical="center"/>
    </xf>
    <xf numFmtId="3" fontId="22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164" fontId="22" fillId="6" borderId="2" applyAlignment="1" pivotButton="0" quotePrefix="0" xfId="0">
      <alignment horizontal="center" vertical="center"/>
    </xf>
    <xf numFmtId="164" fontId="23" fillId="6" borderId="2" pivotButton="0" quotePrefix="0" xfId="0"/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3" fontId="22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164" fontId="22" fillId="8" borderId="2" applyAlignment="1" pivotButton="0" quotePrefix="0" xfId="0">
      <alignment horizontal="center" vertical="center"/>
    </xf>
    <xf numFmtId="164" fontId="23" fillId="8" borderId="2" pivotButton="0" quotePrefix="0" xfId="0"/>
    <xf numFmtId="164" fontId="7" fillId="8" borderId="2" applyAlignment="1" pivotButton="0" quotePrefix="0" xfId="0">
      <alignment horizontal="center" vertical="center"/>
    </xf>
    <xf numFmtId="165" fontId="7" fillId="8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5" fillId="5" borderId="2" applyAlignment="1" pivotButton="0" quotePrefix="0" xfId="0">
      <alignment horizontal="center" vertical="center"/>
    </xf>
    <xf numFmtId="3" fontId="22" fillId="5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164" fontId="5" fillId="13" borderId="2" applyAlignment="1" pivotButton="0" quotePrefix="0" xfId="0">
      <alignment horizontal="center" vertical="center"/>
    </xf>
    <xf numFmtId="165" fontId="5" fillId="13" borderId="2" applyAlignment="1" pivotButton="0" quotePrefix="0" xfId="0">
      <alignment horizontal="center" vertical="center"/>
    </xf>
    <xf numFmtId="164" fontId="24" fillId="3" borderId="2" applyAlignment="1" pivotButton="0" quotePrefix="0" xfId="0">
      <alignment horizontal="center" vertical="center"/>
    </xf>
    <xf numFmtId="165" fontId="24" fillId="3" borderId="2" applyAlignment="1" pivotButton="0" quotePrefix="0" xfId="0">
      <alignment horizontal="center" vertical="center"/>
    </xf>
    <xf numFmtId="0" fontId="0" fillId="10" borderId="2" pivotButton="0" quotePrefix="0" xfId="0"/>
    <xf numFmtId="0" fontId="25" fillId="10" borderId="2" applyAlignment="1" pivotButton="0" quotePrefix="0" xfId="0">
      <alignment horizontal="left" vertical="center"/>
    </xf>
    <xf numFmtId="0" fontId="26" fillId="8" borderId="2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9" fillId="0" borderId="0" pivotButton="0" quotePrefix="0" xfId="0"/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center" wrapText="1"/>
    </xf>
    <xf numFmtId="164" fontId="16" fillId="6" borderId="2" applyAlignment="1" pivotButton="0" quotePrefix="0" xfId="0">
      <alignment horizontal="left" vertical="center" wrapText="1"/>
    </xf>
    <xf numFmtId="0" fontId="30" fillId="16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left" vertical="center" wrapText="1"/>
    </xf>
    <xf numFmtId="164" fontId="16" fillId="8" borderId="2" applyAlignment="1" pivotButton="0" quotePrefix="0" xfId="0">
      <alignment horizontal="left" vertical="center" wrapText="1"/>
    </xf>
    <xf numFmtId="0" fontId="3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/>
    </xf>
    <xf numFmtId="164" fontId="32" fillId="12" borderId="2" applyAlignment="1" pivotButton="0" quotePrefix="0" xfId="0">
      <alignment horizontal="center" vertical="center"/>
    </xf>
    <xf numFmtId="164" fontId="33" fillId="3" borderId="2" applyAlignment="1" pivotButton="0" quotePrefix="0" xfId="0">
      <alignment horizontal="center" vertical="center"/>
    </xf>
    <xf numFmtId="165" fontId="29" fillId="0" borderId="0" pivotButton="0" quotePrefix="0" xfId="0"/>
    <xf numFmtId="0" fontId="0" fillId="0" borderId="4" pivotButton="0" quotePrefix="0" xfId="0"/>
    <xf numFmtId="164" fontId="34" fillId="18" borderId="2" applyAlignment="1" pivotButton="0" quotePrefix="0" xfId="0">
      <alignment horizontal="center" vertical="center"/>
    </xf>
    <xf numFmtId="0" fontId="35" fillId="2" borderId="1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0" fillId="18" borderId="0" pivotButton="0" quotePrefix="0" xfId="0"/>
    <xf numFmtId="0" fontId="0" fillId="20" borderId="0" pivotButton="0" quotePrefix="0" xfId="0"/>
    <xf numFmtId="0" fontId="37" fillId="0" borderId="0" pivotButton="0" quotePrefix="0" xfId="0"/>
    <xf numFmtId="0" fontId="0" fillId="21" borderId="0" pivotButton="0" quotePrefix="0" xfId="0"/>
    <xf numFmtId="0" fontId="7" fillId="22" borderId="2" applyAlignment="1" pivotButton="0" quotePrefix="0" xfId="0">
      <alignment horizontal="left" vertical="center" wrapText="1"/>
    </xf>
    <xf numFmtId="0" fontId="14" fillId="22" borderId="2" applyAlignment="1" pivotButton="0" quotePrefix="0" xfId="0">
      <alignment horizontal="left" vertical="center" wrapText="1"/>
    </xf>
    <xf numFmtId="0" fontId="6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left" vertical="center" wrapText="1"/>
    </xf>
    <xf numFmtId="0" fontId="14" fillId="23" borderId="2" applyAlignment="1" pivotButton="0" quotePrefix="0" xfId="0">
      <alignment horizontal="left" vertical="center" wrapText="1"/>
    </xf>
    <xf numFmtId="0" fontId="6" fillId="23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left" vertical="center" wrapText="1"/>
    </xf>
    <xf numFmtId="0" fontId="7" fillId="24" borderId="2" applyAlignment="1" pivotButton="0" quotePrefix="0" xfId="0">
      <alignment horizontal="left" vertical="center" wrapText="1"/>
    </xf>
    <xf numFmtId="0" fontId="14" fillId="24" borderId="2" applyAlignment="1" pivotButton="0" quotePrefix="0" xfId="0">
      <alignment horizontal="left" vertical="center" wrapText="1"/>
    </xf>
    <xf numFmtId="0" fontId="6" fillId="24" borderId="2" applyAlignment="1" pivotButton="0" quotePrefix="0" xfId="0">
      <alignment horizontal="center" vertical="center"/>
    </xf>
    <xf numFmtId="0" fontId="0" fillId="23" borderId="0" pivotButton="0" quotePrefix="0" xfId="0"/>
    <xf numFmtId="0" fontId="0" fillId="2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8"/>
      <rgbColor rgb="FF000080"/>
      <rgbColor rgb="FF808000"/>
      <rgbColor rgb="FF800080"/>
      <rgbColor rgb="FF008080"/>
      <rgbColor rgb="FFB0B0B0"/>
      <rgbColor rgb="FF888888"/>
      <rgbColor rgb="FF9999FF"/>
      <rgbColor rgb="FFB71C1C"/>
      <rgbColor rgb="FFFFF3CD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D6E4F0"/>
      <rgbColor rgb="FFFFF3E0"/>
      <rgbColor rgb="FFF5F5F5"/>
      <rgbColor rgb="FFFDECEA"/>
      <rgbColor rgb="FFCC99FF"/>
      <rgbColor rgb="FFFFE0E0"/>
      <rgbColor rgb="FF2E75B6"/>
      <rgbColor rgb="FF33CCCC"/>
      <rgbColor rgb="FF99CC00"/>
      <rgbColor rgb="FFFFC000"/>
      <rgbColor rgb="FFFF9900"/>
      <rgbColor rgb="FFE97E2C"/>
      <rgbColor rgb="FF666666"/>
      <rgbColor rgb="FF969696"/>
      <rgbColor rgb="FF1F3864"/>
      <rgbColor rgb="FF339966"/>
      <rgbColor rgb="FF003300"/>
      <rgbColor rgb="FF333300"/>
      <rgbColor rgb="FF7F3F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Normal="100" workbookViewId="0">
      <pane ySplit="4" topLeftCell="A5" activePane="bottomLeft" state="frozen"/>
      <selection pane="bottomLeft" activeCell="A1" sqref="A1:I1"/>
    </sheetView>
  </sheetViews>
  <sheetFormatPr baseColWidth="8" defaultColWidth="8.6328125" defaultRowHeight="14.5"/>
  <cols>
    <col width="8" customWidth="1" min="1" max="1"/>
    <col width="58" customWidth="1" min="2" max="2"/>
    <col width="8" customWidth="1" min="3" max="3"/>
    <col width="12" customWidth="1" min="4" max="5"/>
    <col width="10" customWidth="1" min="6" max="7"/>
    <col width="14" customWidth="1" min="8" max="8"/>
    <col width="30" customWidth="1" min="9" max="9"/>
  </cols>
  <sheetData>
    <row r="1" ht="21.75" customHeight="1">
      <c r="A1" s="8" t="inlineStr">
        <is>
          <t>FIRE DOOR REMEDIAL WORKS — RATE CARD  |  Jay Davis / WestPark Interiors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12.75" customHeight="1">
      <c r="A2" s="7" t="inlineStr">
        <is>
          <t>MOCK RATES — FOR DEVELOPMENT/TESTING ONLY. Alex to replace with actual rates. Yellow = input cells.</t>
        </is>
      </c>
    </row>
    <row r="3" ht="12.75" customHeight="1">
      <c r="A3" s="6" t="inlineStr">
        <is>
          <t>Updated 19 March 2026: B11 (lipping repair) and B12 (leaf void infill) added. Height band variants on A-series. These cover ART 01 and ART 02 in the EAS/FireDNA system.</t>
        </is>
      </c>
    </row>
    <row r="4" ht="18" customHeight="1">
      <c r="A4" s="9" t="inlineStr">
        <is>
          <t>CODE</t>
        </is>
      </c>
      <c r="B4" s="9" t="inlineStr">
        <is>
          <t>DESCRIPTION</t>
        </is>
      </c>
      <c r="C4" s="9" t="inlineStr">
        <is>
          <t>UNIT</t>
        </is>
      </c>
      <c r="D4" s="9" t="inlineStr">
        <is>
          <t>MAT'S</t>
        </is>
      </c>
      <c r="E4" s="9" t="inlineStr">
        <is>
          <t>LABOUR</t>
        </is>
      </c>
      <c r="F4" s="9" t="inlineStr">
        <is>
          <t>T &amp; J</t>
        </is>
      </c>
      <c r="G4" s="9" t="inlineStr">
        <is>
          <t>HUMP</t>
        </is>
      </c>
      <c r="H4" s="9" t="inlineStr">
        <is>
          <t>TOTAL RATE</t>
        </is>
      </c>
      <c r="I4" s="9" t="inlineStr">
        <is>
          <t>NOTES</t>
        </is>
      </c>
    </row>
    <row r="5" ht="15.75" customHeight="1">
      <c r="A5" s="10" t="n"/>
      <c r="B5" s="11" t="inlineStr">
        <is>
          <t>A — FULL DOOR REPLACEMENT (supply &amp; fit certified fire door set including frame)</t>
        </is>
      </c>
      <c r="C5" s="10" t="n"/>
      <c r="D5" s="10" t="n"/>
      <c r="E5" s="10" t="n"/>
      <c r="F5" s="10" t="n"/>
      <c r="G5" s="10" t="n"/>
      <c r="H5" s="10" t="n"/>
      <c r="I5" s="10" t="n"/>
    </row>
    <row r="6" ht="15" customHeight="1">
      <c r="A6" s="12" t="inlineStr">
        <is>
          <t>A01</t>
        </is>
      </c>
      <c r="B6" s="13" t="inlineStr">
        <is>
          <t>FD30 — Single Leaf, Paint Grade, Height up to 2040mm</t>
        </is>
      </c>
      <c r="C6" s="14" t="inlineStr">
        <is>
          <t>no</t>
        </is>
      </c>
      <c r="D6" s="84" t="n">
        <v>320</v>
      </c>
      <c r="E6" s="84" t="n">
        <v>180</v>
      </c>
      <c r="F6" s="84" t="n">
        <v>25</v>
      </c>
      <c r="G6" s="84" t="n">
        <v>30</v>
      </c>
      <c r="H6" s="16" t="n">
        <v>555</v>
      </c>
      <c r="I6" s="17" t="inlineStr">
        <is>
          <t>Standard height — most common</t>
        </is>
      </c>
    </row>
    <row r="7" ht="15" customHeight="1">
      <c r="A7" s="18" t="inlineStr">
        <is>
          <t>A02</t>
        </is>
      </c>
      <c r="B7" s="19" t="inlineStr">
        <is>
          <t>FD30 — Single Leaf, Paint Grade, Height 2040–2400mm</t>
        </is>
      </c>
      <c r="C7" s="20" t="inlineStr">
        <is>
          <t>no</t>
        </is>
      </c>
      <c r="D7" s="84" t="n">
        <v>370</v>
      </c>
      <c r="E7" s="84" t="n">
        <v>200</v>
      </c>
      <c r="F7" s="84" t="n">
        <v>25</v>
      </c>
      <c r="G7" s="84" t="n">
        <v>30</v>
      </c>
      <c r="H7" s="16" t="n">
        <v>625</v>
      </c>
      <c r="I7" s="21" t="inlineStr">
        <is>
          <t>Height uplift band</t>
        </is>
      </c>
    </row>
    <row r="8" ht="15" customHeight="1">
      <c r="A8" s="12" t="inlineStr">
        <is>
          <t>A03</t>
        </is>
      </c>
      <c r="B8" s="13" t="inlineStr">
        <is>
          <t>FD30 — Single Leaf, Paint Grade, Height 2400–2730mm</t>
        </is>
      </c>
      <c r="C8" s="14" t="inlineStr">
        <is>
          <t>no</t>
        </is>
      </c>
      <c r="D8" s="84" t="n">
        <v>420</v>
      </c>
      <c r="E8" s="84" t="n">
        <v>220</v>
      </c>
      <c r="F8" s="84" t="n">
        <v>25</v>
      </c>
      <c r="G8" s="84" t="n">
        <v>35</v>
      </c>
      <c r="H8" s="16" t="n">
        <v>700</v>
      </c>
      <c r="I8" s="17" t="inlineStr">
        <is>
          <t>Tallest standard band</t>
        </is>
      </c>
    </row>
    <row r="9" ht="15" customHeight="1">
      <c r="A9" s="18" t="inlineStr">
        <is>
          <t>A04</t>
        </is>
      </c>
      <c r="B9" s="19" t="inlineStr">
        <is>
          <t>FD30 — Double Leaf, Paint Grade, Height up to 2040mm</t>
        </is>
      </c>
      <c r="C9" s="20" t="inlineStr">
        <is>
          <t>no</t>
        </is>
      </c>
      <c r="D9" s="84" t="n">
        <v>580</v>
      </c>
      <c r="E9" s="84" t="n">
        <v>280</v>
      </c>
      <c r="F9" s="84" t="n">
        <v>40</v>
      </c>
      <c r="G9" s="84" t="n">
        <v>50</v>
      </c>
      <c r="H9" s="16" t="n">
        <v>950</v>
      </c>
      <c r="I9" s="21" t="inlineStr">
        <is>
          <t>Double leaf</t>
        </is>
      </c>
    </row>
    <row r="10" ht="15" customHeight="1">
      <c r="A10" s="12" t="inlineStr">
        <is>
          <t>A05</t>
        </is>
      </c>
      <c r="B10" s="13" t="inlineStr">
        <is>
          <t>FD30S — Single Leaf, Paint Grade + Smoke Seals, Height up to 2040mm</t>
        </is>
      </c>
      <c r="C10" s="14" t="inlineStr">
        <is>
          <t>no</t>
        </is>
      </c>
      <c r="D10" s="84" t="n">
        <v>380</v>
      </c>
      <c r="E10" s="84" t="n">
        <v>190</v>
      </c>
      <c r="F10" s="84" t="n">
        <v>25</v>
      </c>
      <c r="G10" s="84" t="n">
        <v>30</v>
      </c>
      <c r="H10" s="16" t="n">
        <v>625</v>
      </c>
      <c r="I10" s="17" t="inlineStr">
        <is>
          <t>FD30S = FD30 + seals</t>
        </is>
      </c>
    </row>
    <row r="11" ht="15" customHeight="1">
      <c r="A11" s="18" t="inlineStr">
        <is>
          <t>A06</t>
        </is>
      </c>
      <c r="B11" s="19" t="inlineStr">
        <is>
          <t>FD30S — Single Leaf, Paint Grade + Smoke Seals, Height 2040–2400mm</t>
        </is>
      </c>
      <c r="C11" s="20" t="inlineStr">
        <is>
          <t>no</t>
        </is>
      </c>
      <c r="D11" s="84" t="n">
        <v>430</v>
      </c>
      <c r="E11" s="84" t="n">
        <v>210</v>
      </c>
      <c r="F11" s="84" t="n">
        <v>25</v>
      </c>
      <c r="G11" s="84" t="n">
        <v>30</v>
      </c>
      <c r="H11" s="16" t="n">
        <v>695</v>
      </c>
      <c r="I11" s="21" t="inlineStr">
        <is>
          <t>Height uplift</t>
        </is>
      </c>
    </row>
    <row r="12" ht="15" customHeight="1">
      <c r="A12" s="12" t="inlineStr">
        <is>
          <t>A07</t>
        </is>
      </c>
      <c r="B12" s="13" t="inlineStr">
        <is>
          <t>FD30S — Single Leaf, Paint Grade + Smoke Seals, Height 2400–2730mm</t>
        </is>
      </c>
      <c r="C12" s="14" t="inlineStr">
        <is>
          <t>no</t>
        </is>
      </c>
      <c r="D12" s="84" t="n">
        <v>480</v>
      </c>
      <c r="E12" s="84" t="n">
        <v>230</v>
      </c>
      <c r="F12" s="84" t="n">
        <v>25</v>
      </c>
      <c r="G12" s="84" t="n">
        <v>35</v>
      </c>
      <c r="H12" s="16" t="n">
        <v>770</v>
      </c>
      <c r="I12" s="17" t="inlineStr">
        <is>
          <t>Tallest band</t>
        </is>
      </c>
    </row>
    <row r="13" ht="15" customHeight="1">
      <c r="A13" s="18" t="inlineStr">
        <is>
          <t>A08</t>
        </is>
      </c>
      <c r="B13" s="19" t="inlineStr">
        <is>
          <t>FD30S — Double Leaf, Paint Grade + Smoke Seals, Height up to 2040mm</t>
        </is>
      </c>
      <c r="C13" s="20" t="inlineStr">
        <is>
          <t>no</t>
        </is>
      </c>
      <c r="D13" s="84" t="n">
        <v>650</v>
      </c>
      <c r="E13" s="84" t="n">
        <v>300</v>
      </c>
      <c r="F13" s="84" t="n">
        <v>40</v>
      </c>
      <c r="G13" s="84" t="n">
        <v>50</v>
      </c>
      <c r="H13" s="16" t="n">
        <v>1040</v>
      </c>
      <c r="I13" s="21" t="inlineStr">
        <is>
          <t>Double leaf FD30S</t>
        </is>
      </c>
    </row>
    <row r="14" ht="15" customHeight="1">
      <c r="A14" s="12" t="inlineStr">
        <is>
          <t>A09</t>
        </is>
      </c>
      <c r="B14" s="13" t="inlineStr">
        <is>
          <t>FD60S — Single Leaf, Paint Grade + Smoke Seals, Height up to 2040mm</t>
        </is>
      </c>
      <c r="C14" s="14" t="inlineStr">
        <is>
          <t>no</t>
        </is>
      </c>
      <c r="D14" s="84" t="n">
        <v>480</v>
      </c>
      <c r="E14" s="84" t="n">
        <v>220</v>
      </c>
      <c r="F14" s="84" t="n">
        <v>30</v>
      </c>
      <c r="G14" s="84" t="n">
        <v>35</v>
      </c>
      <c r="H14" s="16" t="n">
        <v>765</v>
      </c>
      <c r="I14" s="17" t="inlineStr">
        <is>
          <t>60-min — required by fire strategy</t>
        </is>
      </c>
    </row>
    <row r="15" ht="15" customHeight="1">
      <c r="A15" s="18" t="inlineStr">
        <is>
          <t>A10</t>
        </is>
      </c>
      <c r="B15" s="19" t="inlineStr">
        <is>
          <t>FD60S — Single Leaf, Paint Grade + Smoke Seals, Height 2040–2400mm</t>
        </is>
      </c>
      <c r="C15" s="20" t="inlineStr">
        <is>
          <t>no</t>
        </is>
      </c>
      <c r="D15" s="84" t="n">
        <v>540</v>
      </c>
      <c r="E15" s="84" t="n">
        <v>240</v>
      </c>
      <c r="F15" s="84" t="n">
        <v>30</v>
      </c>
      <c r="G15" s="84" t="n">
        <v>35</v>
      </c>
      <c r="H15" s="16" t="n">
        <v>845</v>
      </c>
      <c r="I15" s="21" t="inlineStr">
        <is>
          <t>Height uplift</t>
        </is>
      </c>
    </row>
    <row r="16" ht="15" customHeight="1">
      <c r="A16" s="12" t="inlineStr">
        <is>
          <t>A11</t>
        </is>
      </c>
      <c r="B16" s="13" t="inlineStr">
        <is>
          <t>FD60S — Double Leaf, Paint Grade + Smoke Seals, Height up to 2040mm</t>
        </is>
      </c>
      <c r="C16" s="14" t="inlineStr">
        <is>
          <t>no</t>
        </is>
      </c>
      <c r="D16" s="84" t="n">
        <v>780</v>
      </c>
      <c r="E16" s="84" t="n">
        <v>340</v>
      </c>
      <c r="F16" s="84" t="n">
        <v>45</v>
      </c>
      <c r="G16" s="84" t="n">
        <v>55</v>
      </c>
      <c r="H16" s="16" t="n">
        <v>1220</v>
      </c>
      <c r="I16" s="17" t="inlineStr">
        <is>
          <t>Double leaf FD60S</t>
        </is>
      </c>
    </row>
    <row r="17" ht="15" customHeight="1">
      <c r="A17" s="18" t="inlineStr">
        <is>
          <t>A12</t>
        </is>
      </c>
      <c r="B17" s="19" t="inlineStr">
        <is>
          <t>E/O Hardwood Veneer Finish — any size (uplift per door)</t>
        </is>
      </c>
      <c r="C17" s="20" t="inlineStr">
        <is>
          <t>no</t>
        </is>
      </c>
      <c r="D17" s="84" t="n">
        <v>120</v>
      </c>
      <c r="E17" s="84" t="n">
        <v>0</v>
      </c>
      <c r="F17" s="84" t="n">
        <v>0</v>
      </c>
      <c r="G17" s="84" t="n">
        <v>0</v>
      </c>
      <c r="H17" s="16" t="n">
        <v>120</v>
      </c>
      <c r="I17" s="21" t="inlineStr">
        <is>
          <t>On top of base rate</t>
        </is>
      </c>
    </row>
    <row r="18" ht="15" customHeight="1">
      <c r="A18" s="12" t="inlineStr">
        <is>
          <t>A13</t>
        </is>
      </c>
      <c r="B18" s="13" t="inlineStr">
        <is>
          <t>E/O External Grade Specification — weathered locations</t>
        </is>
      </c>
      <c r="C18" s="14" t="inlineStr">
        <is>
          <t>no</t>
        </is>
      </c>
      <c r="D18" s="84" t="n">
        <v>90</v>
      </c>
      <c r="E18" s="84" t="n">
        <v>0</v>
      </c>
      <c r="F18" s="84" t="n">
        <v>0</v>
      </c>
      <c r="G18" s="84" t="n">
        <v>0</v>
      </c>
      <c r="H18" s="16" t="n">
        <v>90</v>
      </c>
      <c r="I18" s="17" t="inlineStr">
        <is>
          <t>On top of base rate</t>
        </is>
      </c>
    </row>
    <row r="19" ht="15" customHeight="1">
      <c r="A19" s="18" t="inlineStr">
        <is>
          <t>A14</t>
        </is>
      </c>
      <c r="B19" s="19" t="inlineStr">
        <is>
          <t>E/O Fire-Rated Vision Panel up to 300 x 600mm</t>
        </is>
      </c>
      <c r="C19" s="20" t="inlineStr">
        <is>
          <t>no</t>
        </is>
      </c>
      <c r="D19" s="84" t="n">
        <v>85</v>
      </c>
      <c r="E19" s="84" t="n">
        <v>40</v>
      </c>
      <c r="F19" s="84" t="n">
        <v>5</v>
      </c>
      <c r="G19" s="84" t="n">
        <v>5</v>
      </c>
      <c r="H19" s="16" t="n">
        <v>135</v>
      </c>
      <c r="I19" s="21" t="inlineStr">
        <is>
          <t>Supply &amp; fit fire-rated glazing</t>
        </is>
      </c>
    </row>
    <row r="20" ht="15" customHeight="1">
      <c r="A20" s="12" t="inlineStr">
        <is>
          <t>A15</t>
        </is>
      </c>
      <c r="B20" s="13" t="inlineStr">
        <is>
          <t>E/O Fire-Rated Vision Panel over 300 x 600mm</t>
        </is>
      </c>
      <c r="C20" s="14" t="inlineStr">
        <is>
          <t>no</t>
        </is>
      </c>
      <c r="D20" s="84" t="n">
        <v>130</v>
      </c>
      <c r="E20" s="84" t="n">
        <v>55</v>
      </c>
      <c r="F20" s="84" t="n">
        <v>5</v>
      </c>
      <c r="G20" s="84" t="n">
        <v>5</v>
      </c>
      <c r="H20" s="16" t="n">
        <v>195</v>
      </c>
      <c r="I20" s="17" t="inlineStr">
        <is>
          <t>Larger vision panel</t>
        </is>
      </c>
    </row>
    <row r="21" ht="15.75" customHeight="1">
      <c r="A21" s="10" t="n"/>
      <c r="B21" s="11" t="inlineStr">
        <is>
          <t>B — REMEDIAL WORKS (no door replacement — note: does NOT produce a certified fire door set)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5" customHeight="1">
      <c r="A22" s="12" t="inlineStr">
        <is>
          <t>B01</t>
        </is>
      </c>
      <c r="B22" s="13" t="inlineStr">
        <is>
          <t>Supply &amp; fit intumescent + smoke seals — head, jambs, meeting edges</t>
        </is>
      </c>
      <c r="C22" s="14" t="inlineStr">
        <is>
          <t>no</t>
        </is>
      </c>
      <c r="D22" s="84" t="n">
        <v>45</v>
      </c>
      <c r="E22" s="84" t="n">
        <v>65</v>
      </c>
      <c r="F22" s="84" t="n">
        <v>5</v>
      </c>
      <c r="G22" s="84" t="n">
        <v>5</v>
      </c>
      <c r="H22" s="16" t="n">
        <v>120</v>
      </c>
      <c r="I22" s="17" t="inlineStr">
        <is>
          <t>Most common remedial action</t>
        </is>
      </c>
    </row>
    <row r="23" ht="15" customHeight="1">
      <c r="A23" s="18" t="inlineStr">
        <is>
          <t>B02</t>
        </is>
      </c>
      <c r="B23" s="19" t="inlineStr">
        <is>
          <t>Supply &amp; fit intumescent seals only — no smoke seal</t>
        </is>
      </c>
      <c r="C23" s="20" t="inlineStr">
        <is>
          <t>no</t>
        </is>
      </c>
      <c r="D23" s="84" t="n">
        <v>30</v>
      </c>
      <c r="E23" s="84" t="n">
        <v>50</v>
      </c>
      <c r="F23" s="84" t="n">
        <v>5</v>
      </c>
      <c r="G23" s="84" t="n">
        <v>5</v>
      </c>
      <c r="H23" s="16" t="n">
        <v>90</v>
      </c>
      <c r="I23" s="21" t="inlineStr">
        <is>
          <t>Lower spec</t>
        </is>
      </c>
    </row>
    <row r="24" ht="15" customHeight="1">
      <c r="A24" s="12" t="inlineStr">
        <is>
          <t>B03</t>
        </is>
      </c>
      <c r="B24" s="13" t="inlineStr">
        <is>
          <t>Replace overhead door closer — supply &amp; fit, CE-marked BS EN 1154</t>
        </is>
      </c>
      <c r="C24" s="14" t="inlineStr">
        <is>
          <t>no</t>
        </is>
      </c>
      <c r="D24" s="84" t="n">
        <v>85</v>
      </c>
      <c r="E24" s="84" t="n">
        <v>70</v>
      </c>
      <c r="F24" s="84" t="n">
        <v>5</v>
      </c>
      <c r="G24" s="84" t="n">
        <v>10</v>
      </c>
      <c r="H24" s="16" t="n">
        <v>170</v>
      </c>
      <c r="I24" s="17" t="inlineStr">
        <is>
          <t>Standard closer replacement</t>
        </is>
      </c>
    </row>
    <row r="25" ht="15" customHeight="1">
      <c r="A25" s="18" t="inlineStr">
        <is>
          <t>B04</t>
        </is>
      </c>
      <c r="B25" s="19" t="inlineStr">
        <is>
          <t>Replace / fix hinge set — screws or full replacement, BS EN 1935 Grade 11</t>
        </is>
      </c>
      <c r="C25" s="20" t="inlineStr">
        <is>
          <t>no</t>
        </is>
      </c>
      <c r="D25" s="84" t="n">
        <v>35</v>
      </c>
      <c r="E25" s="84" t="n">
        <v>45</v>
      </c>
      <c r="F25" s="84" t="n">
        <v>5</v>
      </c>
      <c r="G25" s="84" t="n">
        <v>5</v>
      </c>
      <c r="H25" s="16" t="n">
        <v>90</v>
      </c>
      <c r="I25" s="21" t="inlineStr">
        <is>
          <t>Check whether screws or full hinge needed</t>
        </is>
      </c>
    </row>
    <row r="26" ht="15" customHeight="1">
      <c r="A26" s="12" t="inlineStr">
        <is>
          <t>B05</t>
        </is>
      </c>
      <c r="B26" s="13" t="inlineStr">
        <is>
          <t>Replace lever handles / latch set — supply &amp; fit, CE-marked ironmongery</t>
        </is>
      </c>
      <c r="C26" s="14" t="inlineStr">
        <is>
          <t>no</t>
        </is>
      </c>
      <c r="D26" s="84" t="n">
        <v>40</v>
      </c>
      <c r="E26" s="84" t="n">
        <v>45</v>
      </c>
      <c r="F26" s="84" t="n">
        <v>5</v>
      </c>
      <c r="G26" s="84" t="n">
        <v>5</v>
      </c>
      <c r="H26" s="16" t="n">
        <v>95</v>
      </c>
      <c r="I26" s="17" t="inlineStr">
        <is>
          <t>SSS finish unless specified</t>
        </is>
      </c>
    </row>
    <row r="27" ht="15" customHeight="1">
      <c r="A27" s="18" t="inlineStr">
        <is>
          <t>B06</t>
        </is>
      </c>
      <c r="B27" s="19" t="inlineStr">
        <is>
          <t>Fire-stop frame-to-wall gap — intumescent mastic / ablative batt</t>
        </is>
      </c>
      <c r="C27" s="20" t="inlineStr">
        <is>
          <t>no</t>
        </is>
      </c>
      <c r="D27" s="84" t="n">
        <v>25</v>
      </c>
      <c r="E27" s="84" t="n">
        <v>55</v>
      </c>
      <c r="F27" s="84" t="n">
        <v>5</v>
      </c>
      <c r="G27" s="84" t="n">
        <v>5</v>
      </c>
      <c r="H27" s="16" t="n">
        <v>90</v>
      </c>
      <c r="I27" s="21" t="inlineStr">
        <is>
          <t>Per door</t>
        </is>
      </c>
    </row>
    <row r="28" ht="15" customHeight="1">
      <c r="A28" s="12" t="inlineStr">
        <is>
          <t>B07</t>
        </is>
      </c>
      <c r="B28" s="13" t="inlineStr">
        <is>
          <t>Add or replace fire door signage — correct type per door (Keep Shut / Keep Locked)</t>
        </is>
      </c>
      <c r="C28" s="14" t="inlineStr">
        <is>
          <t>no</t>
        </is>
      </c>
      <c r="D28" s="84" t="n">
        <v>12</v>
      </c>
      <c r="E28" s="84" t="n">
        <v>25</v>
      </c>
      <c r="F28" s="84" t="n">
        <v>3</v>
      </c>
      <c r="G28" s="84" t="n">
        <v>0</v>
      </c>
      <c r="H28" s="16" t="n">
        <v>40</v>
      </c>
      <c r="I28" s="17" t="inlineStr">
        <is>
          <t>Per door — 2 signs per leaf</t>
        </is>
      </c>
    </row>
    <row r="29" ht="15" customHeight="1">
      <c r="A29" s="18" t="inlineStr">
        <is>
          <t>B08</t>
        </is>
      </c>
      <c r="B29" s="19" t="inlineStr">
        <is>
          <t>Supply &amp; fit electromagnetic hold-open device — fire alarm linked</t>
        </is>
      </c>
      <c r="C29" s="20" t="inlineStr">
        <is>
          <t>no</t>
        </is>
      </c>
      <c r="D29" s="84" t="n">
        <v>180</v>
      </c>
      <c r="E29" s="84" t="n">
        <v>120</v>
      </c>
      <c r="F29" s="84" t="n">
        <v>10</v>
      </c>
      <c r="G29" s="84" t="n">
        <v>15</v>
      </c>
      <c r="H29" s="16" t="n">
        <v>325</v>
      </c>
      <c r="I29" s="21" t="inlineStr">
        <is>
          <t>Requires electrical connection</t>
        </is>
      </c>
    </row>
    <row r="30" ht="15" customHeight="1">
      <c r="A30" s="12" t="inlineStr">
        <is>
          <t>B09</t>
        </is>
      </c>
      <c r="B30" s="13" t="inlineStr">
        <is>
          <t>Replace threshold / automatic drop seal</t>
        </is>
      </c>
      <c r="C30" s="14" t="inlineStr">
        <is>
          <t>no</t>
        </is>
      </c>
      <c r="D30" s="84" t="n">
        <v>55</v>
      </c>
      <c r="E30" s="84" t="n">
        <v>60</v>
      </c>
      <c r="F30" s="84" t="n">
        <v>5</v>
      </c>
      <c r="G30" s="84" t="n">
        <v>5</v>
      </c>
      <c r="H30" s="16" t="n">
        <v>125</v>
      </c>
      <c r="I30" s="17" t="inlineStr">
        <is>
          <t>Per door</t>
        </is>
      </c>
    </row>
    <row r="31" ht="15" customHeight="1">
      <c r="A31" s="18" t="inlineStr">
        <is>
          <t>B10</t>
        </is>
      </c>
      <c r="B31" s="19" t="inlineStr">
        <is>
          <t>Adjust / re-hang door leaf — binding, distortion, incorrect gaps, snagging on floor</t>
        </is>
      </c>
      <c r="C31" s="20" t="inlineStr">
        <is>
          <t>no</t>
        </is>
      </c>
      <c r="D31" s="84" t="n">
        <v>0</v>
      </c>
      <c r="E31" s="84" t="n">
        <v>75</v>
      </c>
      <c r="F31" s="84" t="n">
        <v>5</v>
      </c>
      <c r="G31" s="84" t="n">
        <v>5</v>
      </c>
      <c r="H31" s="16" t="n">
        <v>85</v>
      </c>
      <c r="I31" s="21" t="inlineStr">
        <is>
          <t>Labour only</t>
        </is>
      </c>
    </row>
    <row r="32" ht="15" customHeight="1">
      <c r="A32" s="22" t="inlineStr">
        <is>
          <t>B11</t>
        </is>
      </c>
      <c r="B32" s="23" t="inlineStr">
        <is>
          <t>Door lipping repair — damaged / missing lipping re-lipped with hardwood (min 640kg/m3) *** NEW ***</t>
        </is>
      </c>
      <c r="C32" s="24" t="inlineStr">
        <is>
          <t>no</t>
        </is>
      </c>
      <c r="D32" s="84" t="n">
        <v>40</v>
      </c>
      <c r="E32" s="84" t="n">
        <v>85</v>
      </c>
      <c r="F32" s="84" t="n">
        <v>5</v>
      </c>
      <c r="G32" s="84" t="n">
        <v>10</v>
      </c>
      <c r="H32" s="16" t="n">
        <v>140</v>
      </c>
      <c r="I32" s="25" t="inlineStr">
        <is>
          <t>Covers ART 01 in EAS/FireDNA system. Common fault — appears on ~20% of doors surveyed.</t>
        </is>
      </c>
    </row>
    <row r="33" ht="15" customHeight="1">
      <c r="A33" s="22" t="inlineStr">
        <is>
          <t>B12</t>
        </is>
      </c>
      <c r="B33" s="23" t="inlineStr">
        <is>
          <t>Door leaf void infill — repair hole/void from removed hardware using hardwood timber insert *** NEW ***</t>
        </is>
      </c>
      <c r="C33" s="24" t="inlineStr">
        <is>
          <t>no</t>
        </is>
      </c>
      <c r="D33" s="84" t="n">
        <v>35</v>
      </c>
      <c r="E33" s="84" t="n">
        <v>75</v>
      </c>
      <c r="F33" s="84" t="n">
        <v>5</v>
      </c>
      <c r="G33" s="84" t="n">
        <v>10</v>
      </c>
      <c r="H33" s="16" t="n">
        <v>125</v>
      </c>
      <c r="I33" s="25" t="inlineStr">
        <is>
          <t>Covers ART 02 in EAS/FireDNA system. Appears frequently on tenant doors. Per hole/void.</t>
        </is>
      </c>
    </row>
    <row r="34" ht="15.75" customHeight="1">
      <c r="A34" s="10" t="n"/>
      <c r="B34" s="11" t="inlineStr">
        <is>
          <t>C — PRELIMINARIES &amp; ANCILLARIES</t>
        </is>
      </c>
      <c r="C34" s="10" t="n"/>
      <c r="D34" s="10" t="n"/>
      <c r="E34" s="10" t="n"/>
      <c r="F34" s="10" t="n"/>
      <c r="G34" s="10" t="n"/>
      <c r="H34" s="10" t="n"/>
      <c r="I34" s="10" t="n"/>
    </row>
    <row r="35" ht="15" customHeight="1">
      <c r="A35" s="18" t="inlineStr">
        <is>
          <t>C01</t>
        </is>
      </c>
      <c r="B35" s="19" t="inlineStr">
        <is>
          <t>Mobilisation / Site setup — fixed call-out per visit</t>
        </is>
      </c>
      <c r="C35" s="20" t="inlineStr">
        <is>
          <t>visit</t>
        </is>
      </c>
      <c r="D35" s="84" t="n">
        <v>0</v>
      </c>
      <c r="E35" s="84" t="n">
        <v>120</v>
      </c>
      <c r="F35" s="84" t="n">
        <v>20</v>
      </c>
      <c r="G35" s="84" t="n">
        <v>30</v>
      </c>
      <c r="H35" s="16" t="n">
        <v>170</v>
      </c>
      <c r="I35" s="21" t="inlineStr">
        <is>
          <t>Travel, van, tools, PPE</t>
        </is>
      </c>
    </row>
    <row r="36" ht="15" customHeight="1">
      <c r="A36" s="12" t="inlineStr">
        <is>
          <t>C02</t>
        </is>
      </c>
      <c r="B36" s="13" t="inlineStr">
        <is>
          <t>Waste removal &amp; disposal — per door (average)</t>
        </is>
      </c>
      <c r="C36" s="14" t="inlineStr">
        <is>
          <t>no</t>
        </is>
      </c>
      <c r="D36" s="84" t="n">
        <v>15</v>
      </c>
      <c r="E36" s="84" t="n">
        <v>25</v>
      </c>
      <c r="F36" s="84" t="n">
        <v>0</v>
      </c>
      <c r="G36" s="84" t="n">
        <v>10</v>
      </c>
      <c r="H36" s="16" t="n">
        <v>50</v>
      </c>
      <c r="I36" s="17" t="inlineStr">
        <is>
          <t>Removed doors, packaging, debris</t>
        </is>
      </c>
    </row>
    <row r="37" ht="15" customHeight="1">
      <c r="A37" s="18" t="inlineStr">
        <is>
          <t>C03</t>
        </is>
      </c>
      <c r="B37" s="19" t="inlineStr">
        <is>
          <t>Certification &amp; completion documentation — per door</t>
        </is>
      </c>
      <c r="C37" s="20" t="inlineStr">
        <is>
          <t>no</t>
        </is>
      </c>
      <c r="D37" s="84" t="n">
        <v>0</v>
      </c>
      <c r="E37" s="84" t="n">
        <v>35</v>
      </c>
      <c r="F37" s="84" t="n">
        <v>5</v>
      </c>
      <c r="G37" s="84" t="n">
        <v>0</v>
      </c>
      <c r="H37" s="16" t="n">
        <v>40</v>
      </c>
      <c r="I37" s="21" t="inlineStr">
        <is>
          <t>Photo record, cert, handover pack</t>
        </is>
      </c>
    </row>
    <row r="38" ht="15" customHeight="1">
      <c r="A38" s="12" t="inlineStr">
        <is>
          <t>C04</t>
        </is>
      </c>
      <c r="B38" s="13" t="inlineStr">
        <is>
          <t>Out-of-hours uplift — per day if required</t>
        </is>
      </c>
      <c r="C38" s="14" t="inlineStr">
        <is>
          <t>day</t>
        </is>
      </c>
      <c r="D38" s="84" t="n">
        <v>0</v>
      </c>
      <c r="E38" s="84" t="n">
        <v>200</v>
      </c>
      <c r="F38" s="84" t="n">
        <v>0</v>
      </c>
      <c r="G38" s="84" t="n">
        <v>0</v>
      </c>
      <c r="H38" s="16" t="n">
        <v>200</v>
      </c>
      <c r="I38" s="17" t="inlineStr">
        <is>
          <t>Evening / weekend premium</t>
        </is>
      </c>
    </row>
    <row r="39" ht="15" customHeight="1">
      <c r="A39" s="18" t="inlineStr">
        <is>
          <t>C05</t>
        </is>
      </c>
      <c r="B39" s="19" t="inlineStr">
        <is>
          <t>Scaffold / access equipment — PROVISIONAL</t>
        </is>
      </c>
      <c r="C39" s="20" t="inlineStr">
        <is>
          <t>item</t>
        </is>
      </c>
      <c r="D39" s="84" t="n">
        <v>0</v>
      </c>
      <c r="E39" s="84" t="n">
        <v>0</v>
      </c>
      <c r="F39" s="84" t="n">
        <v>0</v>
      </c>
      <c r="G39" s="84" t="n">
        <v>0</v>
      </c>
      <c r="H39" s="16" t="n">
        <v>0</v>
      </c>
      <c r="I39" s="21" t="inlineStr">
        <is>
          <t>Where standard access not possible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18" customWidth="1" min="3" max="3"/>
    <col width="12" customWidth="1" min="4" max="4"/>
    <col width="20" customWidth="1" min="5" max="5"/>
    <col width="16" customWidth="1" min="6" max="6"/>
    <col width="10" customWidth="1" min="7" max="7"/>
    <col width="18" customWidth="1" min="8" max="9"/>
    <col width="12" customWidth="1" min="10" max="10"/>
    <col width="28" customWidth="1" min="11" max="11"/>
    <col width="10" customWidth="1" min="12" max="13"/>
    <col width="8" customWidth="1" min="14" max="16"/>
    <col width="5" customWidth="1" min="17" max="17"/>
    <col width="10" customWidth="1" min="18" max="20"/>
    <col width="12" customWidth="1" min="21" max="21"/>
    <col width="30" customWidth="1" min="22" max="22"/>
  </cols>
  <sheetData>
    <row r="1" ht="21.75" customHeight="1">
      <c r="A1" s="85" t="inlineStr">
        <is>
          <t>FIRE DOOR REMEDIAL WORKS — DOOR SCHEDULE  |  AI-populated from survey PDF or Excel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</row>
    <row r="2" ht="25.5" customHeight="1">
      <c r="A2" s="86" t="inlineStr">
        <is>
          <t>Survey: AlphaSights Thames Court | EAS Interiors Ltd | BM TRADA 1470 | 6 March 2026 | 39 doors across Level 2 &amp; Level 3</t>
        </is>
      </c>
    </row>
    <row r="3" ht="31.5" customHeight="1">
      <c r="A3" s="26" t="inlineStr">
        <is>
          <t>DOOR ID</t>
        </is>
      </c>
      <c r="B3" s="26" t="inlineStr">
        <is>
          <t>LOCATION</t>
        </is>
      </c>
      <c r="C3" s="26" t="inlineStr">
        <is>
          <t>DOOR TYPE</t>
        </is>
      </c>
      <c r="D3" s="26" t="inlineStr">
        <is>
          <t>CURRENT RATING</t>
        </is>
      </c>
      <c r="E3" s="26" t="inlineStr">
        <is>
          <t>LEAF CONFIG</t>
        </is>
      </c>
      <c r="F3" s="26" t="inlineStr">
        <is>
          <t>LEAF SIZE</t>
        </is>
      </c>
      <c r="G3" s="26" t="inlineStr">
        <is>
          <t>FINISH</t>
        </is>
      </c>
      <c r="H3" s="26" t="inlineStr">
        <is>
          <t>SEALS</t>
        </is>
      </c>
      <c r="I3" s="26" t="inlineStr">
        <is>
          <t>CLOSER</t>
        </is>
      </c>
      <c r="J3" s="26" t="inlineStr">
        <is>
          <t>VISION PANEL</t>
        </is>
      </c>
      <c r="K3" s="26" t="inlineStr">
        <is>
          <t>ACTION DESCRIPTION</t>
        </is>
      </c>
      <c r="L3" s="26" t="inlineStr">
        <is>
          <t>SEVERITY</t>
        </is>
      </c>
      <c r="M3" s="26" t="inlineStr">
        <is>
          <t>DUE DATE</t>
        </is>
      </c>
      <c r="N3" s="26" t="inlineStr">
        <is>
          <t>OPT A
REMEDIAL?</t>
        </is>
      </c>
      <c r="O3" s="26" t="inlineStr">
        <is>
          <t>OPT B
REPLACE?</t>
        </is>
      </c>
      <c r="P3" s="26" t="inlineStr">
        <is>
          <t>OPT B
BASE ITEM</t>
        </is>
      </c>
      <c r="Q3" s="26" t="inlineStr">
        <is>
          <t>QTY</t>
        </is>
      </c>
      <c r="R3" s="26" t="inlineStr">
        <is>
          <t>E/O
OVERSIZE?</t>
        </is>
      </c>
      <c r="S3" s="26" t="inlineStr">
        <is>
          <t>E/O
HARDWOOD?</t>
        </is>
      </c>
      <c r="T3" s="26" t="inlineStr">
        <is>
          <t>E/O
EXTERNAL?</t>
        </is>
      </c>
      <c r="U3" s="26" t="inlineStr">
        <is>
          <t>E/O
VISION?</t>
        </is>
      </c>
      <c r="V3" s="26" t="inlineStr">
        <is>
          <t>NOTES / FLAGS</t>
        </is>
      </c>
    </row>
    <row r="4" ht="18" customHeight="1">
      <c r="A4" s="92" t="inlineStr">
        <is>
          <t>Floor 1-1</t>
        </is>
      </c>
      <c r="B4" s="92" t="inlineStr">
        <is>
          <t>Floor 1</t>
        </is>
      </c>
      <c r="C4" s="92" t="inlineStr">
        <is>
          <t>From Survey</t>
        </is>
      </c>
      <c r="D4" s="92" t="inlineStr">
        <is>
          <t>Unknown</t>
        </is>
      </c>
      <c r="E4" s="92" t="inlineStr">
        <is>
          <t>Single Leaf</t>
        </is>
      </c>
      <c r="F4" s="92" t="inlineStr">
        <is>
          <t>Unknown</t>
        </is>
      </c>
      <c r="G4" s="92" t="inlineStr">
        <is>
          <t>Paint</t>
        </is>
      </c>
      <c r="H4" s="92" t="inlineStr">
        <is>
          <t>To Check</t>
        </is>
      </c>
      <c r="I4" s="92" t="inlineStr">
        <is>
          <t>To Check</t>
        </is>
      </c>
      <c r="J4" s="92" t="inlineStr">
        <is>
          <t>To Check</t>
        </is>
      </c>
      <c r="K4" s="92" t="inlineStr">
        <is>
          <t>Hinges missing screws; Missing seal at top of door, where self-closer replaced</t>
        </is>
      </c>
      <c r="L4" s="92" t="inlineStr">
        <is>
          <t>MEDIUM</t>
        </is>
      </c>
      <c r="M4" s="92" t="n"/>
      <c r="N4" s="93" t="inlineStr">
        <is>
          <t>YES</t>
        </is>
      </c>
      <c r="O4" s="92" t="inlineStr">
        <is>
          <t>PENDING</t>
        </is>
      </c>
      <c r="P4" s="94" t="inlineStr">
        <is>
          <t>B01</t>
        </is>
      </c>
      <c r="Q4" s="92" t="inlineStr">
        <is>
          <t>B01</t>
        </is>
      </c>
      <c r="R4" s="92" t="inlineStr">
        <is>
          <t>NO</t>
        </is>
      </c>
      <c r="S4" s="92" t="inlineStr">
        <is>
          <t>NO</t>
        </is>
      </c>
      <c r="T4" s="92" t="inlineStr">
        <is>
          <t>NO</t>
        </is>
      </c>
      <c r="U4" s="92" t="inlineStr">
        <is>
          <t>NO</t>
        </is>
      </c>
      <c r="V4" s="92" t="n"/>
    </row>
    <row r="5" ht="18" customHeight="1">
      <c r="A5" s="95" t="inlineStr">
        <is>
          <t>Floor 1-4</t>
        </is>
      </c>
      <c r="B5" s="95" t="inlineStr">
        <is>
          <t>Floor 1</t>
        </is>
      </c>
      <c r="C5" s="95" t="inlineStr">
        <is>
          <t>From Survey</t>
        </is>
      </c>
      <c r="D5" s="95" t="inlineStr">
        <is>
          <t>Unknown</t>
        </is>
      </c>
      <c r="E5" s="95" t="inlineStr">
        <is>
          <t>Single Leaf</t>
        </is>
      </c>
      <c r="F5" s="95" t="inlineStr">
        <is>
          <t>Unknown</t>
        </is>
      </c>
      <c r="G5" s="95" t="inlineStr">
        <is>
          <t>Paint</t>
        </is>
      </c>
      <c r="H5" s="95" t="inlineStr">
        <is>
          <t>To Check</t>
        </is>
      </c>
      <c r="I5" s="95" t="inlineStr">
        <is>
          <t>To Check</t>
        </is>
      </c>
      <c r="J5" s="95" t="inlineStr">
        <is>
          <t>To Check</t>
        </is>
      </c>
      <c r="K5" s="95" t="inlineStr">
        <is>
          <t>Requires adjustment to overcome latch.</t>
        </is>
      </c>
      <c r="L5" s="95" t="inlineStr">
        <is>
          <t>MEDIUM</t>
        </is>
      </c>
      <c r="M5" s="95" t="n"/>
      <c r="N5" s="96" t="inlineStr">
        <is>
          <t>YES</t>
        </is>
      </c>
      <c r="O5" s="95" t="inlineStr">
        <is>
          <t>PENDING</t>
        </is>
      </c>
      <c r="P5" s="97" t="inlineStr">
        <is>
          <t>B05</t>
        </is>
      </c>
      <c r="Q5" s="95" t="inlineStr">
        <is>
          <t>B05</t>
        </is>
      </c>
      <c r="R5" s="95" t="inlineStr">
        <is>
          <t>NO</t>
        </is>
      </c>
      <c r="S5" s="95" t="inlineStr">
        <is>
          <t>NO</t>
        </is>
      </c>
      <c r="T5" s="95" t="inlineStr">
        <is>
          <t>NO</t>
        </is>
      </c>
      <c r="U5" s="95" t="inlineStr">
        <is>
          <t>NO</t>
        </is>
      </c>
      <c r="V5" s="95" t="n"/>
    </row>
    <row r="6" ht="18" customHeight="1">
      <c r="A6" s="95" t="inlineStr">
        <is>
          <t>Floor 1-5</t>
        </is>
      </c>
      <c r="B6" s="95" t="inlineStr">
        <is>
          <t>Floor 1</t>
        </is>
      </c>
      <c r="C6" s="95" t="inlineStr">
        <is>
          <t>From Survey</t>
        </is>
      </c>
      <c r="D6" s="95" t="inlineStr">
        <is>
          <t>Unknown</t>
        </is>
      </c>
      <c r="E6" s="95" t="inlineStr">
        <is>
          <t>Single Leaf</t>
        </is>
      </c>
      <c r="F6" s="95" t="inlineStr">
        <is>
          <t>Unknown</t>
        </is>
      </c>
      <c r="G6" s="95" t="inlineStr">
        <is>
          <t>Paint</t>
        </is>
      </c>
      <c r="H6" s="95" t="inlineStr">
        <is>
          <t>To Check</t>
        </is>
      </c>
      <c r="I6" s="95" t="inlineStr">
        <is>
          <t>To Check</t>
        </is>
      </c>
      <c r="J6" s="95" t="inlineStr">
        <is>
          <t>To Check</t>
        </is>
      </c>
      <c r="K6" s="95" t="inlineStr">
        <is>
          <t>Requires adjustment to overcome latch.</t>
        </is>
      </c>
      <c r="L6" s="95" t="inlineStr">
        <is>
          <t>MEDIUM</t>
        </is>
      </c>
      <c r="M6" s="95" t="n"/>
      <c r="N6" s="96" t="inlineStr">
        <is>
          <t>YES</t>
        </is>
      </c>
      <c r="O6" s="95" t="inlineStr">
        <is>
          <t>PENDING</t>
        </is>
      </c>
      <c r="P6" s="97" t="inlineStr">
        <is>
          <t>B05</t>
        </is>
      </c>
      <c r="Q6" s="95" t="inlineStr">
        <is>
          <t>B05</t>
        </is>
      </c>
      <c r="R6" s="95" t="inlineStr">
        <is>
          <t>NO</t>
        </is>
      </c>
      <c r="S6" s="95" t="inlineStr">
        <is>
          <t>NO</t>
        </is>
      </c>
      <c r="T6" s="95" t="inlineStr">
        <is>
          <t>NO</t>
        </is>
      </c>
      <c r="U6" s="95" t="inlineStr">
        <is>
          <t>NO</t>
        </is>
      </c>
      <c r="V6" s="95" t="n"/>
    </row>
    <row r="7" ht="18" customHeight="1">
      <c r="A7" s="95" t="inlineStr">
        <is>
          <t>Floor 1-7</t>
        </is>
      </c>
      <c r="B7" s="95" t="inlineStr">
        <is>
          <t>Floor 1</t>
        </is>
      </c>
      <c r="C7" s="95" t="inlineStr">
        <is>
          <t>From Survey</t>
        </is>
      </c>
      <c r="D7" s="95" t="inlineStr">
        <is>
          <t>Unknown</t>
        </is>
      </c>
      <c r="E7" s="95" t="inlineStr">
        <is>
          <t>Single Leaf</t>
        </is>
      </c>
      <c r="F7" s="95" t="inlineStr">
        <is>
          <t>Unknown</t>
        </is>
      </c>
      <c r="G7" s="95" t="inlineStr">
        <is>
          <t>Paint</t>
        </is>
      </c>
      <c r="H7" s="95" t="inlineStr">
        <is>
          <t>To Check</t>
        </is>
      </c>
      <c r="I7" s="95" t="inlineStr">
        <is>
          <t>To Check</t>
        </is>
      </c>
      <c r="J7" s="95" t="inlineStr">
        <is>
          <t>To Check</t>
        </is>
      </c>
      <c r="K7" s="95" t="inlineStr">
        <is>
          <t>Intumescent strip has been painted over</t>
        </is>
      </c>
      <c r="L7" s="95" t="inlineStr">
        <is>
          <t>MEDIUM</t>
        </is>
      </c>
      <c r="M7" s="95" t="n"/>
      <c r="N7" s="96" t="inlineStr">
        <is>
          <t>YES</t>
        </is>
      </c>
      <c r="O7" s="95" t="inlineStr">
        <is>
          <t>PENDING</t>
        </is>
      </c>
      <c r="P7" s="97" t="inlineStr">
        <is>
          <t>B02</t>
        </is>
      </c>
      <c r="Q7" s="95" t="inlineStr">
        <is>
          <t>B02</t>
        </is>
      </c>
      <c r="R7" s="95" t="inlineStr">
        <is>
          <t>NO</t>
        </is>
      </c>
      <c r="S7" s="95" t="inlineStr">
        <is>
          <t>NO</t>
        </is>
      </c>
      <c r="T7" s="95" t="inlineStr">
        <is>
          <t>NO</t>
        </is>
      </c>
      <c r="U7" s="95" t="inlineStr">
        <is>
          <t>NO</t>
        </is>
      </c>
      <c r="V7" s="95" t="n"/>
    </row>
    <row r="8" ht="18" customHeight="1">
      <c r="A8" s="95" t="inlineStr">
        <is>
          <t>Floor 1-11</t>
        </is>
      </c>
      <c r="B8" s="95" t="inlineStr">
        <is>
          <t>Floor 1</t>
        </is>
      </c>
      <c r="C8" s="95" t="inlineStr">
        <is>
          <t>From Survey</t>
        </is>
      </c>
      <c r="D8" s="95" t="inlineStr">
        <is>
          <t>Unknown</t>
        </is>
      </c>
      <c r="E8" s="95" t="inlineStr">
        <is>
          <t>Single Leaf</t>
        </is>
      </c>
      <c r="F8" s="95" t="inlineStr">
        <is>
          <t>Unknown</t>
        </is>
      </c>
      <c r="G8" s="95" t="inlineStr">
        <is>
          <t>Paint</t>
        </is>
      </c>
      <c r="H8" s="95" t="inlineStr">
        <is>
          <t>To Check</t>
        </is>
      </c>
      <c r="I8" s="95" t="inlineStr">
        <is>
          <t>To Check</t>
        </is>
      </c>
      <c r="J8" s="95" t="inlineStr">
        <is>
          <t>To Check</t>
        </is>
      </c>
      <c r="K8" s="95" t="inlineStr">
        <is>
          <t>Coming away on the bottom edge; Perco double chains noted in use on door</t>
        </is>
      </c>
      <c r="L8" s="95" t="inlineStr">
        <is>
          <t>MEDIUM</t>
        </is>
      </c>
      <c r="M8" s="95" t="n"/>
      <c r="N8" s="96" t="inlineStr">
        <is>
          <t>YES</t>
        </is>
      </c>
      <c r="O8" s="95" t="inlineStr">
        <is>
          <t>PENDING</t>
        </is>
      </c>
      <c r="P8" s="97" t="inlineStr">
        <is>
          <t>B01</t>
        </is>
      </c>
      <c r="Q8" s="95" t="inlineStr">
        <is>
          <t>B01, B08</t>
        </is>
      </c>
      <c r="R8" s="95" t="inlineStr">
        <is>
          <t>NO</t>
        </is>
      </c>
      <c r="S8" s="95" t="inlineStr">
        <is>
          <t>NO</t>
        </is>
      </c>
      <c r="T8" s="95" t="inlineStr">
        <is>
          <t>NO</t>
        </is>
      </c>
      <c r="U8" s="95" t="inlineStr">
        <is>
          <t>NO</t>
        </is>
      </c>
      <c r="V8" s="95" t="n"/>
    </row>
    <row r="9" ht="18" customHeight="1">
      <c r="A9" s="95" t="inlineStr">
        <is>
          <t>Floor 1-14</t>
        </is>
      </c>
      <c r="B9" s="95" t="inlineStr">
        <is>
          <t>Floor 1</t>
        </is>
      </c>
      <c r="C9" s="95" t="inlineStr">
        <is>
          <t>From Survey</t>
        </is>
      </c>
      <c r="D9" s="95" t="inlineStr">
        <is>
          <t>Unknown</t>
        </is>
      </c>
      <c r="E9" s="95" t="inlineStr">
        <is>
          <t>Single Leaf</t>
        </is>
      </c>
      <c r="F9" s="95" t="inlineStr">
        <is>
          <t>Unknown</t>
        </is>
      </c>
      <c r="G9" s="95" t="inlineStr">
        <is>
          <t>Paint</t>
        </is>
      </c>
      <c r="H9" s="95" t="inlineStr">
        <is>
          <t>To Check</t>
        </is>
      </c>
      <c r="I9" s="95" t="inlineStr">
        <is>
          <t>To Check</t>
        </is>
      </c>
      <c r="J9" s="95" t="inlineStr">
        <is>
          <t>To Check</t>
        </is>
      </c>
      <c r="K9" s="95" t="inlineStr">
        <is>
          <t>Not Fitted; None fitted.; Not Fitted</t>
        </is>
      </c>
      <c r="L9" s="95" t="inlineStr">
        <is>
          <t>MEDIUM</t>
        </is>
      </c>
      <c r="M9" s="95" t="n"/>
      <c r="N9" s="95" t="inlineStr">
        <is>
          <t>YES</t>
        </is>
      </c>
      <c r="O9" s="96" t="inlineStr">
        <is>
          <t>PENDING</t>
        </is>
      </c>
      <c r="P9" s="97" t="inlineStr">
        <is>
          <t>B01</t>
        </is>
      </c>
      <c r="Q9" s="95" t="inlineStr">
        <is>
          <t>B01</t>
        </is>
      </c>
      <c r="R9" s="95" t="inlineStr">
        <is>
          <t>NO</t>
        </is>
      </c>
      <c r="S9" s="95" t="inlineStr">
        <is>
          <t>NO</t>
        </is>
      </c>
      <c r="T9" s="95" t="inlineStr">
        <is>
          <t>NO</t>
        </is>
      </c>
      <c r="U9" s="95" t="inlineStr">
        <is>
          <t>NO</t>
        </is>
      </c>
      <c r="V9" s="98" t="n"/>
    </row>
    <row r="10" ht="18" customHeight="1">
      <c r="A10" s="95" t="inlineStr">
        <is>
          <t>Floor 1-18</t>
        </is>
      </c>
      <c r="B10" s="95" t="inlineStr">
        <is>
          <t>Floor 1</t>
        </is>
      </c>
      <c r="C10" s="95" t="inlineStr">
        <is>
          <t>From Survey</t>
        </is>
      </c>
      <c r="D10" s="95" t="inlineStr">
        <is>
          <t>Unknown</t>
        </is>
      </c>
      <c r="E10" s="95" t="inlineStr">
        <is>
          <t>Single Leaf</t>
        </is>
      </c>
      <c r="F10" s="95" t="inlineStr">
        <is>
          <t>Unknown</t>
        </is>
      </c>
      <c r="G10" s="95" t="inlineStr">
        <is>
          <t>Paint</t>
        </is>
      </c>
      <c r="H10" s="95" t="inlineStr">
        <is>
          <t>To Check</t>
        </is>
      </c>
      <c r="I10" s="95" t="inlineStr">
        <is>
          <t>To Check</t>
        </is>
      </c>
      <c r="J10" s="95" t="inlineStr">
        <is>
          <t>To Check</t>
        </is>
      </c>
      <c r="K10" s="95" t="inlineStr">
        <is>
          <t>Not Fitted; Intumescent only.; Not Fitted</t>
        </is>
      </c>
      <c r="L10" s="95" t="inlineStr">
        <is>
          <t>MEDIUM</t>
        </is>
      </c>
      <c r="M10" s="95" t="n"/>
      <c r="N10" s="95" t="inlineStr">
        <is>
          <t>YES</t>
        </is>
      </c>
      <c r="O10" s="96" t="inlineStr">
        <is>
          <t>PENDING</t>
        </is>
      </c>
      <c r="P10" s="97" t="inlineStr">
        <is>
          <t>B01</t>
        </is>
      </c>
      <c r="Q10" s="95" t="inlineStr">
        <is>
          <t>B02, B01</t>
        </is>
      </c>
      <c r="R10" s="95" t="inlineStr">
        <is>
          <t>NO</t>
        </is>
      </c>
      <c r="S10" s="95" t="inlineStr">
        <is>
          <t>NO</t>
        </is>
      </c>
      <c r="T10" s="95" t="inlineStr">
        <is>
          <t>NO</t>
        </is>
      </c>
      <c r="U10" s="95" t="inlineStr">
        <is>
          <t>NO</t>
        </is>
      </c>
      <c r="V10" s="98" t="n"/>
    </row>
    <row r="11" ht="18" customHeight="1">
      <c r="A11" s="99" t="inlineStr">
        <is>
          <t>Floor 1-20</t>
        </is>
      </c>
      <c r="B11" s="99" t="inlineStr">
        <is>
          <t>Floor 1</t>
        </is>
      </c>
      <c r="C11" s="99" t="inlineStr">
        <is>
          <t>From Survey</t>
        </is>
      </c>
      <c r="D11" s="99" t="inlineStr">
        <is>
          <t>Unknown</t>
        </is>
      </c>
      <c r="E11" s="99" t="inlineStr">
        <is>
          <t>Single Leaf</t>
        </is>
      </c>
      <c r="F11" s="99" t="inlineStr">
        <is>
          <t>Unknown</t>
        </is>
      </c>
      <c r="G11" s="99" t="inlineStr">
        <is>
          <t>Paint</t>
        </is>
      </c>
      <c r="H11" s="99" t="inlineStr">
        <is>
          <t>To Check</t>
        </is>
      </c>
      <c r="I11" s="99" t="inlineStr">
        <is>
          <t>To Check</t>
        </is>
      </c>
      <c r="J11" s="99" t="inlineStr">
        <is>
          <t>To Check</t>
        </is>
      </c>
      <c r="K11" s="99" t="inlineStr">
        <is>
          <t>Unable to open door and check.; Not Fitted; Unable to open door and check.; Unable to open door and check.</t>
        </is>
      </c>
      <c r="L11" s="99" t="inlineStr">
        <is>
          <t>MEDIUM</t>
        </is>
      </c>
      <c r="M11" s="99" t="n"/>
      <c r="N11" s="100" t="inlineStr">
        <is>
          <t>YES</t>
        </is>
      </c>
      <c r="O11" s="99" t="inlineStr">
        <is>
          <t>PENDING</t>
        </is>
      </c>
      <c r="P11" s="101" t="inlineStr">
        <is>
          <t>B01</t>
        </is>
      </c>
      <c r="Q11" s="99" t="inlineStr">
        <is>
          <t>B01</t>
        </is>
      </c>
      <c r="R11" s="99" t="inlineStr">
        <is>
          <t>NO</t>
        </is>
      </c>
      <c r="S11" s="99" t="inlineStr">
        <is>
          <t>NO</t>
        </is>
      </c>
      <c r="T11" s="99" t="inlineStr">
        <is>
          <t>NO</t>
        </is>
      </c>
      <c r="U11" s="99" t="inlineStr">
        <is>
          <t>NO</t>
        </is>
      </c>
      <c r="V11" s="99" t="inlineStr">
        <is>
          <t>⚠️ Unable to inspect - needs revisit</t>
        </is>
      </c>
    </row>
    <row r="12">
      <c r="A12" s="102" t="inlineStr">
        <is>
          <t>Floor 1-22</t>
        </is>
      </c>
      <c r="B12" s="102" t="inlineStr">
        <is>
          <t>Floor 1</t>
        </is>
      </c>
      <c r="C12" s="102" t="inlineStr">
        <is>
          <t>From Survey</t>
        </is>
      </c>
      <c r="D12" s="102" t="inlineStr">
        <is>
          <t>Unknown</t>
        </is>
      </c>
      <c r="E12" s="102" t="inlineStr">
        <is>
          <t>Single Leaf</t>
        </is>
      </c>
      <c r="F12" s="102" t="inlineStr">
        <is>
          <t>Unknown</t>
        </is>
      </c>
      <c r="G12" s="102" t="inlineStr">
        <is>
          <t>Paint</t>
        </is>
      </c>
      <c r="H12" s="102" t="inlineStr">
        <is>
          <t>To Check</t>
        </is>
      </c>
      <c r="I12" s="102" t="inlineStr">
        <is>
          <t>To Check</t>
        </is>
      </c>
      <c r="J12" s="102" t="inlineStr">
        <is>
          <t>To Check</t>
        </is>
      </c>
      <c r="K12" s="102" t="inlineStr">
        <is>
          <t>Not Fitted; Damage to smoke seal</t>
        </is>
      </c>
      <c r="L12" s="102" t="inlineStr">
        <is>
          <t>MEDIUM</t>
        </is>
      </c>
      <c r="M12" s="102" t="n"/>
      <c r="N12" s="102" t="inlineStr">
        <is>
          <t>YES</t>
        </is>
      </c>
      <c r="O12" s="102" t="inlineStr">
        <is>
          <t>PENDING</t>
        </is>
      </c>
      <c r="P12" s="102" t="inlineStr">
        <is>
          <t>B01</t>
        </is>
      </c>
      <c r="Q12" s="102" t="inlineStr">
        <is>
          <t>B01</t>
        </is>
      </c>
      <c r="R12" s="102" t="inlineStr">
        <is>
          <t>NO</t>
        </is>
      </c>
      <c r="S12" s="102" t="inlineStr">
        <is>
          <t>NO</t>
        </is>
      </c>
      <c r="T12" s="102" t="inlineStr">
        <is>
          <t>NO</t>
        </is>
      </c>
      <c r="U12" s="102" t="inlineStr">
        <is>
          <t>NO</t>
        </is>
      </c>
      <c r="V12" s="102" t="n"/>
    </row>
    <row r="13">
      <c r="A13" s="102" t="inlineStr">
        <is>
          <t>Floor 2-3</t>
        </is>
      </c>
      <c r="B13" s="102" t="inlineStr">
        <is>
          <t>Floor 2</t>
        </is>
      </c>
      <c r="C13" s="102" t="inlineStr">
        <is>
          <t>From Survey</t>
        </is>
      </c>
      <c r="D13" s="102" t="inlineStr">
        <is>
          <t>Unknown</t>
        </is>
      </c>
      <c r="E13" s="102" t="inlineStr">
        <is>
          <t>Single Leaf</t>
        </is>
      </c>
      <c r="F13" s="102" t="inlineStr">
        <is>
          <t>Unknown</t>
        </is>
      </c>
      <c r="G13" s="102" t="inlineStr">
        <is>
          <t>Paint</t>
        </is>
      </c>
      <c r="H13" s="102" t="inlineStr">
        <is>
          <t>To Check</t>
        </is>
      </c>
      <c r="I13" s="102" t="inlineStr">
        <is>
          <t>To Check</t>
        </is>
      </c>
      <c r="J13" s="102" t="inlineStr">
        <is>
          <t>To Check</t>
        </is>
      </c>
      <c r="K13" s="102" t="inlineStr">
        <is>
          <t>Hinges missing screws; Not Fitted</t>
        </is>
      </c>
      <c r="L13" s="102" t="inlineStr">
        <is>
          <t>MEDIUM</t>
        </is>
      </c>
      <c r="M13" s="102" t="n"/>
      <c r="N13" s="102" t="inlineStr">
        <is>
          <t>YES</t>
        </is>
      </c>
      <c r="O13" s="102" t="inlineStr">
        <is>
          <t>PENDING</t>
        </is>
      </c>
      <c r="P13" s="102" t="inlineStr">
        <is>
          <t>B01</t>
        </is>
      </c>
      <c r="Q13" s="102" t="inlineStr">
        <is>
          <t>B01</t>
        </is>
      </c>
      <c r="R13" s="102" t="inlineStr">
        <is>
          <t>NO</t>
        </is>
      </c>
      <c r="S13" s="102" t="inlineStr">
        <is>
          <t>NO</t>
        </is>
      </c>
      <c r="T13" s="102" t="inlineStr">
        <is>
          <t>NO</t>
        </is>
      </c>
      <c r="U13" s="102" t="inlineStr">
        <is>
          <t>NO</t>
        </is>
      </c>
      <c r="V13" s="102" t="n"/>
    </row>
    <row r="14">
      <c r="A14" s="103" t="inlineStr">
        <is>
          <t>Floor 2-5</t>
        </is>
      </c>
      <c r="B14" s="103" t="inlineStr">
        <is>
          <t>Floor 2</t>
        </is>
      </c>
      <c r="C14" s="103" t="inlineStr">
        <is>
          <t>From Survey</t>
        </is>
      </c>
      <c r="D14" s="103" t="inlineStr">
        <is>
          <t>Unknown</t>
        </is>
      </c>
      <c r="E14" s="103" t="inlineStr">
        <is>
          <t>Single Leaf</t>
        </is>
      </c>
      <c r="F14" s="103" t="inlineStr">
        <is>
          <t>Unknown</t>
        </is>
      </c>
      <c r="G14" s="103" t="inlineStr">
        <is>
          <t>Paint</t>
        </is>
      </c>
      <c r="H14" s="103" t="inlineStr">
        <is>
          <t>To Check</t>
        </is>
      </c>
      <c r="I14" s="103" t="inlineStr">
        <is>
          <t>To Check</t>
        </is>
      </c>
      <c r="J14" s="103" t="inlineStr">
        <is>
          <t>To Check</t>
        </is>
      </c>
      <c r="K14" s="103" t="inlineStr">
        <is>
          <t>Unable to open door fully  and check.; Unable to open  fully door and check.; Unable to open  fully door and check.</t>
        </is>
      </c>
      <c r="L14" s="103" t="inlineStr">
        <is>
          <t>LOW</t>
        </is>
      </c>
      <c r="M14" s="103" t="n"/>
      <c r="N14" s="103" t="inlineStr">
        <is>
          <t>YES</t>
        </is>
      </c>
      <c r="O14" s="103" t="inlineStr">
        <is>
          <t>PENDING</t>
        </is>
      </c>
      <c r="P14" s="103" t="inlineStr">
        <is>
          <t>B01</t>
        </is>
      </c>
      <c r="Q14" s="103" t="inlineStr">
        <is>
          <t>MANUAL REVIEW</t>
        </is>
      </c>
      <c r="R14" s="103" t="inlineStr">
        <is>
          <t>NO</t>
        </is>
      </c>
      <c r="S14" s="103" t="inlineStr">
        <is>
          <t>NO</t>
        </is>
      </c>
      <c r="T14" s="103" t="inlineStr">
        <is>
          <t>NO</t>
        </is>
      </c>
      <c r="U14" s="103" t="inlineStr">
        <is>
          <t>NO</t>
        </is>
      </c>
      <c r="V14" s="103" t="inlineStr">
        <is>
          <t>⚠️ Unable to inspect - needs revisit</t>
        </is>
      </c>
    </row>
    <row r="15">
      <c r="A15" s="103" t="inlineStr">
        <is>
          <t>Floor 3-1</t>
        </is>
      </c>
      <c r="B15" s="103" t="inlineStr">
        <is>
          <t>Floor 3</t>
        </is>
      </c>
      <c r="C15" s="103" t="inlineStr">
        <is>
          <t>From Survey</t>
        </is>
      </c>
      <c r="D15" s="103" t="inlineStr">
        <is>
          <t>Unknown</t>
        </is>
      </c>
      <c r="E15" s="103" t="inlineStr">
        <is>
          <t>Single Leaf</t>
        </is>
      </c>
      <c r="F15" s="103" t="inlineStr">
        <is>
          <t>Unknown</t>
        </is>
      </c>
      <c r="G15" s="103" t="inlineStr">
        <is>
          <t>Paint</t>
        </is>
      </c>
      <c r="H15" s="103" t="inlineStr">
        <is>
          <t>To Check</t>
        </is>
      </c>
      <c r="I15" s="103" t="inlineStr">
        <is>
          <t>To Check</t>
        </is>
      </c>
      <c r="J15" s="103" t="inlineStr">
        <is>
          <t>To Check</t>
        </is>
      </c>
      <c r="K15" s="103" t="inlineStr">
        <is>
          <t>Not Fitted; Intumescent only.; Unable to open door to check</t>
        </is>
      </c>
      <c r="L15" s="103" t="inlineStr">
        <is>
          <t>MEDIUM</t>
        </is>
      </c>
      <c r="M15" s="103" t="n"/>
      <c r="N15" s="103" t="inlineStr">
        <is>
          <t>YES</t>
        </is>
      </c>
      <c r="O15" s="103" t="inlineStr">
        <is>
          <t>PENDING</t>
        </is>
      </c>
      <c r="P15" s="103" t="inlineStr">
        <is>
          <t>B01</t>
        </is>
      </c>
      <c r="Q15" s="103" t="inlineStr">
        <is>
          <t>B02, B01</t>
        </is>
      </c>
      <c r="R15" s="103" t="inlineStr">
        <is>
          <t>NO</t>
        </is>
      </c>
      <c r="S15" s="103" t="inlineStr">
        <is>
          <t>NO</t>
        </is>
      </c>
      <c r="T15" s="103" t="inlineStr">
        <is>
          <t>NO</t>
        </is>
      </c>
      <c r="U15" s="103" t="inlineStr">
        <is>
          <t>NO</t>
        </is>
      </c>
      <c r="V15" s="103" t="inlineStr">
        <is>
          <t>⚠️ Unable to inspect - needs revisit</t>
        </is>
      </c>
    </row>
    <row r="16">
      <c r="A16" s="102" t="inlineStr">
        <is>
          <t>Floor 3-3</t>
        </is>
      </c>
      <c r="B16" s="102" t="inlineStr">
        <is>
          <t>Floor 3</t>
        </is>
      </c>
      <c r="C16" s="102" t="inlineStr">
        <is>
          <t>From Survey</t>
        </is>
      </c>
      <c r="D16" s="102" t="inlineStr">
        <is>
          <t>Unknown</t>
        </is>
      </c>
      <c r="E16" s="102" t="inlineStr">
        <is>
          <t>Single Leaf</t>
        </is>
      </c>
      <c r="F16" s="102" t="inlineStr">
        <is>
          <t>Unknown</t>
        </is>
      </c>
      <c r="G16" s="102" t="inlineStr">
        <is>
          <t>Paint</t>
        </is>
      </c>
      <c r="H16" s="102" t="inlineStr">
        <is>
          <t>To Check</t>
        </is>
      </c>
      <c r="I16" s="102" t="inlineStr">
        <is>
          <t>To Check</t>
        </is>
      </c>
      <c r="J16" s="102" t="inlineStr">
        <is>
          <t>To Check</t>
        </is>
      </c>
      <c r="K16" s="102" t="inlineStr">
        <is>
          <t>Not Fitted; Smoke seal worn on top edge</t>
        </is>
      </c>
      <c r="L16" s="102" t="inlineStr">
        <is>
          <t>MEDIUM</t>
        </is>
      </c>
      <c r="M16" s="102" t="n"/>
      <c r="N16" s="102" t="inlineStr">
        <is>
          <t>YES</t>
        </is>
      </c>
      <c r="O16" s="102" t="inlineStr">
        <is>
          <t>PENDING</t>
        </is>
      </c>
      <c r="P16" s="102" t="inlineStr">
        <is>
          <t>B01</t>
        </is>
      </c>
      <c r="Q16" s="102" t="inlineStr">
        <is>
          <t>B01</t>
        </is>
      </c>
      <c r="R16" s="102" t="inlineStr">
        <is>
          <t>NO</t>
        </is>
      </c>
      <c r="S16" s="102" t="inlineStr">
        <is>
          <t>NO</t>
        </is>
      </c>
      <c r="T16" s="102" t="inlineStr">
        <is>
          <t>NO</t>
        </is>
      </c>
      <c r="U16" s="102" t="inlineStr">
        <is>
          <t>NO</t>
        </is>
      </c>
      <c r="V16" s="102" t="n"/>
    </row>
    <row r="17">
      <c r="A17" s="102" t="inlineStr">
        <is>
          <t>Floor 3-6</t>
        </is>
      </c>
      <c r="B17" s="102" t="inlineStr">
        <is>
          <t>Floor 3</t>
        </is>
      </c>
      <c r="C17" s="102" t="inlineStr">
        <is>
          <t>From Survey</t>
        </is>
      </c>
      <c r="D17" s="102" t="inlineStr">
        <is>
          <t>Unknown</t>
        </is>
      </c>
      <c r="E17" s="102" t="inlineStr">
        <is>
          <t>Single Leaf</t>
        </is>
      </c>
      <c r="F17" s="102" t="inlineStr">
        <is>
          <t>Unknown</t>
        </is>
      </c>
      <c r="G17" s="102" t="inlineStr">
        <is>
          <t>Paint</t>
        </is>
      </c>
      <c r="H17" s="102" t="inlineStr">
        <is>
          <t>To Check</t>
        </is>
      </c>
      <c r="I17" s="102" t="inlineStr">
        <is>
          <t>To Check</t>
        </is>
      </c>
      <c r="J17" s="102" t="inlineStr">
        <is>
          <t>To Check</t>
        </is>
      </c>
      <c r="K17" s="102" t="inlineStr">
        <is>
          <t>Not closing as catching on floor.</t>
        </is>
      </c>
      <c r="L17" s="102" t="inlineStr">
        <is>
          <t>MEDIUM</t>
        </is>
      </c>
      <c r="M17" s="102" t="n"/>
      <c r="N17" s="102" t="inlineStr">
        <is>
          <t>YES</t>
        </is>
      </c>
      <c r="O17" s="102" t="inlineStr">
        <is>
          <t>PENDING</t>
        </is>
      </c>
      <c r="P17" s="102" t="inlineStr">
        <is>
          <t>B10</t>
        </is>
      </c>
      <c r="Q17" s="102" t="inlineStr">
        <is>
          <t>B10</t>
        </is>
      </c>
      <c r="R17" s="102" t="inlineStr">
        <is>
          <t>NO</t>
        </is>
      </c>
      <c r="S17" s="102" t="inlineStr">
        <is>
          <t>NO</t>
        </is>
      </c>
      <c r="T17" s="102" t="inlineStr">
        <is>
          <t>NO</t>
        </is>
      </c>
      <c r="U17" s="102" t="inlineStr">
        <is>
          <t>NO</t>
        </is>
      </c>
      <c r="V17" s="102" t="n"/>
    </row>
    <row r="18">
      <c r="A18" s="103" t="inlineStr">
        <is>
          <t>Floor 3-11</t>
        </is>
      </c>
      <c r="B18" s="103" t="inlineStr">
        <is>
          <t>Floor 3</t>
        </is>
      </c>
      <c r="C18" s="103" t="inlineStr">
        <is>
          <t>From Survey</t>
        </is>
      </c>
      <c r="D18" s="103" t="inlineStr">
        <is>
          <t>Unknown</t>
        </is>
      </c>
      <c r="E18" s="103" t="inlineStr">
        <is>
          <t>Single Leaf</t>
        </is>
      </c>
      <c r="F18" s="103" t="inlineStr">
        <is>
          <t>Unknown</t>
        </is>
      </c>
      <c r="G18" s="103" t="inlineStr">
        <is>
          <t>Paint</t>
        </is>
      </c>
      <c r="H18" s="103" t="inlineStr">
        <is>
          <t>To Check</t>
        </is>
      </c>
      <c r="I18" s="103" t="inlineStr">
        <is>
          <t>To Check</t>
        </is>
      </c>
      <c r="J18" s="103" t="inlineStr">
        <is>
          <t>To Check</t>
        </is>
      </c>
      <c r="K18" s="103" t="inlineStr">
        <is>
          <t>Unable to open door to check.; Not Fitted; Unable to open door to check.; Unable to open door to check</t>
        </is>
      </c>
      <c r="L18" s="103" t="inlineStr">
        <is>
          <t>MEDIUM</t>
        </is>
      </c>
      <c r="M18" s="103" t="n"/>
      <c r="N18" s="103" t="inlineStr">
        <is>
          <t>YES</t>
        </is>
      </c>
      <c r="O18" s="103" t="inlineStr">
        <is>
          <t>PENDING</t>
        </is>
      </c>
      <c r="P18" s="103" t="inlineStr">
        <is>
          <t>B01</t>
        </is>
      </c>
      <c r="Q18" s="103" t="inlineStr">
        <is>
          <t>B01</t>
        </is>
      </c>
      <c r="R18" s="103" t="inlineStr">
        <is>
          <t>NO</t>
        </is>
      </c>
      <c r="S18" s="103" t="inlineStr">
        <is>
          <t>NO</t>
        </is>
      </c>
      <c r="T18" s="103" t="inlineStr">
        <is>
          <t>NO</t>
        </is>
      </c>
      <c r="U18" s="103" t="inlineStr">
        <is>
          <t>NO</t>
        </is>
      </c>
      <c r="V18" s="103" t="inlineStr">
        <is>
          <t>⚠️ Unable to inspect - needs revisit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>
      <c r="A43" s="9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2:V2"/>
    <mergeCell ref="A1:V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" sqref="A1"/>
    </sheetView>
  </sheetViews>
  <sheetFormatPr baseColWidth="8" defaultColWidth="8.6328125" defaultRowHeight="14.5"/>
  <cols>
    <col width="7" customWidth="1" min="1" max="1"/>
    <col width="60" customWidth="1" min="2" max="2"/>
    <col width="6" customWidth="1" min="3" max="4"/>
    <col width="11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5"/>
    <col width="11" customWidth="1" min="16" max="16"/>
    <col width="9" customWidth="1" min="17" max="18"/>
  </cols>
  <sheetData>
    <row r="1" ht="21.75" customHeight="1">
      <c r="A1" s="4" t="inlineStr">
        <is>
          <t>FIRE DOOR REMEDIAL WORKS — QUOTE SHEET</t>
        </is>
      </c>
    </row>
    <row r="2">
      <c r="A2" s="31" t="inlineStr">
        <is>
          <t>Quote Ref:</t>
        </is>
      </c>
      <c r="B2" t="inlineStr">
        <is>
          <t>WP-2026-001</t>
        </is>
      </c>
      <c r="Q2" s="32" t="inlineStr">
        <is>
          <t>TARGET MARGIN:</t>
        </is>
      </c>
      <c r="R2" s="33" t="n">
        <v>0.35</v>
      </c>
    </row>
    <row r="3">
      <c r="A3" s="31" t="inlineStr">
        <is>
          <t>Date:</t>
        </is>
      </c>
      <c r="B3" t="inlineStr">
        <is>
          <t>06/03/2026</t>
        </is>
      </c>
    </row>
    <row r="4">
      <c r="A4" s="31" t="inlineStr">
        <is>
          <t>Client:</t>
        </is>
      </c>
      <c r="B4" t="inlineStr">
        <is>
          <t>Natixis CITYSPACE</t>
        </is>
      </c>
    </row>
    <row r="5">
      <c r="A5" s="31" t="inlineStr">
        <is>
          <t>Site:</t>
        </is>
      </c>
      <c r="B5" t="inlineStr"/>
    </row>
    <row r="6">
      <c r="A6" s="31" t="inlineStr">
        <is>
          <t>Building:</t>
        </is>
      </c>
      <c r="B6" t="inlineStr"/>
    </row>
    <row r="8" ht="18" customHeight="1">
      <c r="A8" s="9" t="inlineStr">
        <is>
          <t>ITEM</t>
        </is>
      </c>
      <c r="B8" s="9" t="inlineStr">
        <is>
          <t>DESCRIPTION</t>
        </is>
      </c>
      <c r="C8" s="9" t="inlineStr">
        <is>
          <t>QTY</t>
        </is>
      </c>
      <c r="D8" s="9" t="inlineStr">
        <is>
          <t>UNIT</t>
        </is>
      </c>
      <c r="E8" s="9" t="inlineStr">
        <is>
          <t>RATE</t>
        </is>
      </c>
      <c r="F8" s="9" t="inlineStr">
        <is>
          <t>TOTAL</t>
        </is>
      </c>
      <c r="G8" s="34" t="inlineStr">
        <is>
          <t>MAT'S</t>
        </is>
      </c>
      <c r="H8" s="34" t="inlineStr">
        <is>
          <t>MAT'S TOTAL</t>
        </is>
      </c>
      <c r="I8" s="34" t="inlineStr">
        <is>
          <t>LAB</t>
        </is>
      </c>
      <c r="J8" s="34" t="inlineStr">
        <is>
          <t>LAB TOTAL</t>
        </is>
      </c>
      <c r="K8" s="34" t="inlineStr">
        <is>
          <t>T &amp; J</t>
        </is>
      </c>
      <c r="L8" s="34" t="inlineStr">
        <is>
          <t>T &amp; J TOTAL</t>
        </is>
      </c>
      <c r="M8" s="34" t="inlineStr">
        <is>
          <t>HUMP</t>
        </is>
      </c>
      <c r="N8" s="34" t="inlineStr">
        <is>
          <t>HUMP TOTAL</t>
        </is>
      </c>
      <c r="O8" s="9" t="inlineStr">
        <is>
          <t>TOTAL COST</t>
        </is>
      </c>
      <c r="P8" s="9" t="inlineStr">
        <is>
          <t>PROFIT</t>
        </is>
      </c>
      <c r="Q8" s="9" t="inlineStr">
        <is>
          <t>% MARGIN</t>
        </is>
      </c>
      <c r="R8" s="9" t="inlineStr">
        <is>
          <t>% PROFIT</t>
        </is>
      </c>
    </row>
    <row r="9" ht="16.5" customHeight="1">
      <c r="A9" s="35" t="inlineStr">
        <is>
          <t>OPT A</t>
        </is>
      </c>
      <c r="B9" s="36" t="inlineStr">
        <is>
          <t>OPTION A — Remedial Works Only  |  Does NOT produce a certified fire door set</t>
        </is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</row>
    <row r="10" ht="12.75" customHeight="1">
      <c r="B10" s="38" t="inlineStr">
        <is>
          <t>Quantities = doors marked YES in Door Schedule Option A column. Type 2 (Excel) surveys populate this section.</t>
        </is>
      </c>
    </row>
    <row r="11" ht="15.75" customHeight="1">
      <c r="A11" s="39" t="inlineStr">
        <is>
          <t>A.01</t>
        </is>
      </c>
      <c r="B11" s="13" t="inlineStr">
        <is>
          <t>Supply &amp; fit intumescent + smoke seals</t>
        </is>
      </c>
      <c r="C11" s="40" t="n">
        <v>10</v>
      </c>
      <c r="D11" s="14" t="inlineStr">
        <is>
          <t>no</t>
        </is>
      </c>
      <c r="E11" s="41" t="n">
        <v>120</v>
      </c>
      <c r="F11" s="42" t="n">
        <v>1200</v>
      </c>
      <c r="G11" s="43" t="n">
        <v>45</v>
      </c>
      <c r="H11" s="44" t="n">
        <v>450</v>
      </c>
      <c r="I11" s="43" t="n">
        <v>65</v>
      </c>
      <c r="J11" s="44" t="n">
        <v>650</v>
      </c>
      <c r="K11" s="43" t="n">
        <v>5</v>
      </c>
      <c r="L11" s="44" t="n">
        <v>50</v>
      </c>
      <c r="M11" s="43" t="n">
        <v>5</v>
      </c>
      <c r="N11" s="44" t="n">
        <v>50</v>
      </c>
      <c r="O11" s="44" t="n">
        <v>1200</v>
      </c>
      <c r="P11" s="44">
        <f>F11-O11</f>
        <v/>
      </c>
      <c r="Q11" s="45">
        <f>IF(F11=0,0,P11/F11)</f>
        <v/>
      </c>
      <c r="R11" s="45">
        <f>IF(O11=0,0,P11/O11)</f>
        <v/>
      </c>
    </row>
    <row r="12" ht="15.75" customHeight="1">
      <c r="A12" s="46" t="inlineStr">
        <is>
          <t>A.02</t>
        </is>
      </c>
      <c r="B12" s="19" t="inlineStr">
        <is>
          <t>Supply &amp; fit intumescent seals only</t>
        </is>
      </c>
      <c r="C12" s="47" t="n">
        <v>1</v>
      </c>
      <c r="D12" s="20" t="inlineStr">
        <is>
          <t>no</t>
        </is>
      </c>
      <c r="E12" s="48" t="n">
        <v>90</v>
      </c>
      <c r="F12" s="49" t="n">
        <v>90</v>
      </c>
      <c r="G12" s="50" t="n">
        <v>30</v>
      </c>
      <c r="H12" s="51" t="n">
        <v>30</v>
      </c>
      <c r="I12" s="50" t="n">
        <v>50</v>
      </c>
      <c r="J12" s="51" t="n">
        <v>50</v>
      </c>
      <c r="K12" s="50" t="n">
        <v>5</v>
      </c>
      <c r="L12" s="51" t="n">
        <v>5</v>
      </c>
      <c r="M12" s="50" t="n">
        <v>5</v>
      </c>
      <c r="N12" s="51" t="n">
        <v>5</v>
      </c>
      <c r="O12" s="51" t="n">
        <v>90</v>
      </c>
      <c r="P12" s="51">
        <f>F12-O12</f>
        <v/>
      </c>
      <c r="Q12" s="52">
        <f>IF(F12=0,0,P12/F12)</f>
        <v/>
      </c>
      <c r="R12" s="52">
        <f>IF(O12=0,0,P12/O12)</f>
        <v/>
      </c>
    </row>
    <row r="13" ht="15.75" customHeight="1">
      <c r="A13" s="39" t="inlineStr">
        <is>
          <t>A.03</t>
        </is>
      </c>
      <c r="B13" s="13" t="inlineStr">
        <is>
          <t>Replace overhead door closer — supply &amp; fit</t>
        </is>
      </c>
      <c r="C13" s="40" t="n">
        <v>0</v>
      </c>
      <c r="D13" s="14" t="inlineStr">
        <is>
          <t>no</t>
        </is>
      </c>
      <c r="E13" s="41" t="n">
        <v>170</v>
      </c>
      <c r="F13" s="42" t="n">
        <v>0</v>
      </c>
      <c r="G13" s="43" t="n">
        <v>0</v>
      </c>
      <c r="H13" s="44" t="n">
        <v>0</v>
      </c>
      <c r="I13" s="43" t="n">
        <v>0</v>
      </c>
      <c r="J13" s="44" t="n">
        <v>0</v>
      </c>
      <c r="K13" s="43" t="n">
        <v>0</v>
      </c>
      <c r="L13" s="44" t="n">
        <v>0</v>
      </c>
      <c r="M13" s="43" t="n">
        <v>0</v>
      </c>
      <c r="N13" s="44" t="n">
        <v>0</v>
      </c>
      <c r="O13" s="44" t="n">
        <v>0</v>
      </c>
      <c r="P13" s="44">
        <f>F13-O13</f>
        <v/>
      </c>
      <c r="Q13" s="45">
        <f>IF(F13=0,0,P13/F13)</f>
        <v/>
      </c>
      <c r="R13" s="45">
        <f>IF(O13=0,0,P13/O13)</f>
        <v/>
      </c>
    </row>
    <row r="14" ht="15.75" customHeight="1">
      <c r="A14" s="46" t="inlineStr">
        <is>
          <t>A.04</t>
        </is>
      </c>
      <c r="B14" s="19" t="inlineStr">
        <is>
          <t>Replace / fix hinge set</t>
        </is>
      </c>
      <c r="C14" s="47" t="n">
        <v>0</v>
      </c>
      <c r="D14" s="20" t="inlineStr">
        <is>
          <t>no</t>
        </is>
      </c>
      <c r="E14" s="48" t="n">
        <v>90</v>
      </c>
      <c r="F14" s="49" t="n">
        <v>0</v>
      </c>
      <c r="G14" s="50" t="n">
        <v>0</v>
      </c>
      <c r="H14" s="51" t="n">
        <v>0</v>
      </c>
      <c r="I14" s="50" t="n">
        <v>0</v>
      </c>
      <c r="J14" s="51" t="n">
        <v>0</v>
      </c>
      <c r="K14" s="50" t="n">
        <v>0</v>
      </c>
      <c r="L14" s="51" t="n">
        <v>0</v>
      </c>
      <c r="M14" s="50" t="n">
        <v>0</v>
      </c>
      <c r="N14" s="51" t="n">
        <v>0</v>
      </c>
      <c r="O14" s="51" t="n">
        <v>0</v>
      </c>
      <c r="P14" s="51">
        <f>F14-O14</f>
        <v/>
      </c>
      <c r="Q14" s="52">
        <f>IF(F14=0,0,P14/F14)</f>
        <v/>
      </c>
      <c r="R14" s="52">
        <f>IF(O14=0,0,P14/O14)</f>
        <v/>
      </c>
    </row>
    <row r="15" ht="15.75" customHeight="1">
      <c r="A15" s="39" t="inlineStr">
        <is>
          <t>A.05</t>
        </is>
      </c>
      <c r="B15" s="13" t="inlineStr">
        <is>
          <t>Replace lever handles / latch set</t>
        </is>
      </c>
      <c r="C15" s="40" t="n">
        <v>2</v>
      </c>
      <c r="D15" s="14" t="inlineStr">
        <is>
          <t>no</t>
        </is>
      </c>
      <c r="E15" s="41" t="n">
        <v>95</v>
      </c>
      <c r="F15" s="42" t="n">
        <v>190</v>
      </c>
      <c r="G15" s="43" t="n">
        <v>40</v>
      </c>
      <c r="H15" s="44" t="n">
        <v>80</v>
      </c>
      <c r="I15" s="43" t="n">
        <v>45</v>
      </c>
      <c r="J15" s="44" t="n">
        <v>90</v>
      </c>
      <c r="K15" s="43" t="n">
        <v>5</v>
      </c>
      <c r="L15" s="44" t="n">
        <v>10</v>
      </c>
      <c r="M15" s="43" t="n">
        <v>5</v>
      </c>
      <c r="N15" s="44" t="n">
        <v>10</v>
      </c>
      <c r="O15" s="44" t="n">
        <v>190</v>
      </c>
      <c r="P15" s="44">
        <f>F15-O15</f>
        <v/>
      </c>
      <c r="Q15" s="45">
        <f>IF(F15=0,0,P15/F15)</f>
        <v/>
      </c>
      <c r="R15" s="45">
        <f>IF(O15=0,0,P15/O15)</f>
        <v/>
      </c>
    </row>
    <row r="16" ht="15.75" customHeight="1">
      <c r="A16" s="46" t="inlineStr">
        <is>
          <t>A.06</t>
        </is>
      </c>
      <c r="B16" s="19" t="inlineStr">
        <is>
          <t>Fire-stop frame-to-wall gap</t>
        </is>
      </c>
      <c r="C16" s="47" t="n">
        <v>0</v>
      </c>
      <c r="D16" s="20" t="inlineStr">
        <is>
          <t>no</t>
        </is>
      </c>
      <c r="E16" s="48" t="n">
        <v>90</v>
      </c>
      <c r="F16" s="49" t="n">
        <v>0</v>
      </c>
      <c r="G16" s="50" t="n">
        <v>0</v>
      </c>
      <c r="H16" s="51" t="n">
        <v>0</v>
      </c>
      <c r="I16" s="50" t="n">
        <v>0</v>
      </c>
      <c r="J16" s="51" t="n">
        <v>0</v>
      </c>
      <c r="K16" s="50" t="n">
        <v>0</v>
      </c>
      <c r="L16" s="51" t="n">
        <v>0</v>
      </c>
      <c r="M16" s="50" t="n">
        <v>0</v>
      </c>
      <c r="N16" s="51" t="n">
        <v>0</v>
      </c>
      <c r="O16" s="51" t="n">
        <v>0</v>
      </c>
      <c r="P16" s="51">
        <f>F16-O16</f>
        <v/>
      </c>
      <c r="Q16" s="52">
        <f>IF(F16=0,0,P16/F16)</f>
        <v/>
      </c>
      <c r="R16" s="52">
        <f>IF(O16=0,0,P16/O16)</f>
        <v/>
      </c>
    </row>
    <row r="17" ht="15.75" customHeight="1">
      <c r="A17" s="39" t="inlineStr">
        <is>
          <t>A.07</t>
        </is>
      </c>
      <c r="B17" s="13" t="inlineStr">
        <is>
          <t>Add / replace fire door signage</t>
        </is>
      </c>
      <c r="C17" s="40" t="n">
        <v>0</v>
      </c>
      <c r="D17" s="14" t="inlineStr">
        <is>
          <t>no</t>
        </is>
      </c>
      <c r="E17" s="41" t="n">
        <v>40</v>
      </c>
      <c r="F17" s="42" t="n">
        <v>0</v>
      </c>
      <c r="G17" s="43" t="n">
        <v>0</v>
      </c>
      <c r="H17" s="44" t="n">
        <v>0</v>
      </c>
      <c r="I17" s="43" t="n">
        <v>0</v>
      </c>
      <c r="J17" s="44" t="n">
        <v>0</v>
      </c>
      <c r="K17" s="43" t="n">
        <v>0</v>
      </c>
      <c r="L17" s="44" t="n">
        <v>0</v>
      </c>
      <c r="M17" s="43" t="n">
        <v>0</v>
      </c>
      <c r="N17" s="44" t="n">
        <v>0</v>
      </c>
      <c r="O17" s="44" t="n">
        <v>0</v>
      </c>
      <c r="P17" s="44">
        <f>F17-O17</f>
        <v/>
      </c>
      <c r="Q17" s="45">
        <f>IF(F17=0,0,P17/F17)</f>
        <v/>
      </c>
      <c r="R17" s="45">
        <f>IF(O17=0,0,P17/O17)</f>
        <v/>
      </c>
    </row>
    <row r="18" ht="15.75" customHeight="1">
      <c r="A18" s="46" t="inlineStr">
        <is>
          <t>A.08</t>
        </is>
      </c>
      <c r="B18" s="19" t="inlineStr">
        <is>
          <t>Supply &amp; fit electromagnetic hold-open device</t>
        </is>
      </c>
      <c r="C18" s="47" t="n">
        <v>0</v>
      </c>
      <c r="D18" s="20" t="inlineStr">
        <is>
          <t>no</t>
        </is>
      </c>
      <c r="E18" s="48" t="n">
        <v>325</v>
      </c>
      <c r="F18" s="49" t="n">
        <v>0</v>
      </c>
      <c r="G18" s="50" t="n">
        <v>0</v>
      </c>
      <c r="H18" s="51" t="n">
        <v>0</v>
      </c>
      <c r="I18" s="50" t="n">
        <v>0</v>
      </c>
      <c r="J18" s="51" t="n">
        <v>0</v>
      </c>
      <c r="K18" s="50" t="n">
        <v>0</v>
      </c>
      <c r="L18" s="51" t="n">
        <v>0</v>
      </c>
      <c r="M18" s="50" t="n">
        <v>0</v>
      </c>
      <c r="N18" s="51" t="n">
        <v>0</v>
      </c>
      <c r="O18" s="51" t="n">
        <v>0</v>
      </c>
      <c r="P18" s="51">
        <f>F18-O18</f>
        <v/>
      </c>
      <c r="Q18" s="52">
        <f>IF(F18=0,0,P18/F18)</f>
        <v/>
      </c>
      <c r="R18" s="52">
        <f>IF(O18=0,0,P18/O18)</f>
        <v/>
      </c>
    </row>
    <row r="19" ht="15.75" customHeight="1">
      <c r="A19" s="39" t="inlineStr">
        <is>
          <t>A.09</t>
        </is>
      </c>
      <c r="B19" s="13" t="inlineStr">
        <is>
          <t>Replace threshold / drop seal</t>
        </is>
      </c>
      <c r="C19" s="40" t="n">
        <v>0</v>
      </c>
      <c r="D19" s="14" t="inlineStr">
        <is>
          <t>no</t>
        </is>
      </c>
      <c r="E19" s="41" t="n">
        <v>125</v>
      </c>
      <c r="F19" s="42" t="n">
        <v>0</v>
      </c>
      <c r="G19" s="43" t="n">
        <v>0</v>
      </c>
      <c r="H19" s="44" t="n">
        <v>0</v>
      </c>
      <c r="I19" s="43" t="n">
        <v>0</v>
      </c>
      <c r="J19" s="44" t="n">
        <v>0</v>
      </c>
      <c r="K19" s="43" t="n">
        <v>0</v>
      </c>
      <c r="L19" s="44" t="n">
        <v>0</v>
      </c>
      <c r="M19" s="43" t="n">
        <v>0</v>
      </c>
      <c r="N19" s="44" t="n">
        <v>0</v>
      </c>
      <c r="O19" s="44" t="n">
        <v>0</v>
      </c>
      <c r="P19" s="44">
        <f>F19-O19</f>
        <v/>
      </c>
      <c r="Q19" s="45">
        <f>IF(F19=0,0,P19/F19)</f>
        <v/>
      </c>
      <c r="R19" s="45">
        <f>IF(O19=0,0,P19/O19)</f>
        <v/>
      </c>
    </row>
    <row r="20" ht="15.75" customHeight="1">
      <c r="A20" s="46" t="inlineStr">
        <is>
          <t>A.10</t>
        </is>
      </c>
      <c r="B20" s="19" t="inlineStr">
        <is>
          <t>Adjust / re-hang door leaf</t>
        </is>
      </c>
      <c r="C20" s="47" t="n">
        <v>1</v>
      </c>
      <c r="D20" s="20" t="inlineStr">
        <is>
          <t>no</t>
        </is>
      </c>
      <c r="E20" s="48" t="n">
        <v>85</v>
      </c>
      <c r="F20" s="49" t="n">
        <v>85</v>
      </c>
      <c r="G20" s="50" t="n">
        <v>0</v>
      </c>
      <c r="H20" s="51" t="n">
        <v>0</v>
      </c>
      <c r="I20" s="50" t="n">
        <v>75</v>
      </c>
      <c r="J20" s="51" t="n">
        <v>75</v>
      </c>
      <c r="K20" s="50" t="n">
        <v>5</v>
      </c>
      <c r="L20" s="51" t="n">
        <v>5</v>
      </c>
      <c r="M20" s="50" t="n">
        <v>5</v>
      </c>
      <c r="N20" s="51" t="n">
        <v>5</v>
      </c>
      <c r="O20" s="51" t="n">
        <v>85</v>
      </c>
      <c r="P20" s="51">
        <f>F20-O20</f>
        <v/>
      </c>
      <c r="Q20" s="52">
        <f>IF(F20=0,0,P20/F20)</f>
        <v/>
      </c>
      <c r="R20" s="52">
        <f>IF(O20=0,0,P20/O20)</f>
        <v/>
      </c>
    </row>
    <row r="21" ht="15.75" customHeight="1">
      <c r="A21" s="39" t="inlineStr">
        <is>
          <t>A.11</t>
        </is>
      </c>
      <c r="B21" s="13" t="inlineStr">
        <is>
          <t>Door lipping repair (hardwood re-lip) *** B11</t>
        </is>
      </c>
      <c r="C21" s="40" t="n">
        <v>0</v>
      </c>
      <c r="D21" s="14" t="inlineStr">
        <is>
          <t>no</t>
        </is>
      </c>
      <c r="E21" s="41" t="n">
        <v>140</v>
      </c>
      <c r="F21" s="42" t="n">
        <v>0</v>
      </c>
      <c r="G21" s="43" t="n">
        <v>0</v>
      </c>
      <c r="H21" s="44" t="n">
        <v>0</v>
      </c>
      <c r="I21" s="43" t="n">
        <v>0</v>
      </c>
      <c r="J21" s="44" t="n">
        <v>0</v>
      </c>
      <c r="K21" s="43" t="n">
        <v>0</v>
      </c>
      <c r="L21" s="44" t="n">
        <v>0</v>
      </c>
      <c r="M21" s="43" t="n">
        <v>0</v>
      </c>
      <c r="N21" s="44" t="n">
        <v>0</v>
      </c>
      <c r="O21" s="44" t="n">
        <v>0</v>
      </c>
      <c r="P21" s="44">
        <f>F21-O21</f>
        <v/>
      </c>
      <c r="Q21" s="45">
        <f>IF(F21=0,0,P21/F21)</f>
        <v/>
      </c>
      <c r="R21" s="45">
        <f>IF(O21=0,0,P21/O21)</f>
        <v/>
      </c>
    </row>
    <row r="22" ht="15.75" customHeight="1">
      <c r="A22" s="46" t="inlineStr">
        <is>
          <t>A.12</t>
        </is>
      </c>
      <c r="B22" s="19" t="inlineStr">
        <is>
          <t>Door leaf void infill (hardwood timber insert) *** B12</t>
        </is>
      </c>
      <c r="C22" s="47" t="n">
        <v>0</v>
      </c>
      <c r="D22" s="20" t="inlineStr">
        <is>
          <t>no</t>
        </is>
      </c>
      <c r="E22" s="48" t="n">
        <v>125</v>
      </c>
      <c r="F22" s="49" t="n">
        <v>0</v>
      </c>
      <c r="G22" s="50" t="n">
        <v>0</v>
      </c>
      <c r="H22" s="51" t="n">
        <v>0</v>
      </c>
      <c r="I22" s="50" t="n">
        <v>0</v>
      </c>
      <c r="J22" s="51" t="n">
        <v>0</v>
      </c>
      <c r="K22" s="50" t="n">
        <v>0</v>
      </c>
      <c r="L22" s="51" t="n">
        <v>0</v>
      </c>
      <c r="M22" s="50" t="n">
        <v>0</v>
      </c>
      <c r="N22" s="51" t="n">
        <v>0</v>
      </c>
      <c r="O22" s="51" t="n">
        <v>0</v>
      </c>
      <c r="P22" s="51">
        <f>F22-O22</f>
        <v/>
      </c>
      <c r="Q22" s="52">
        <f>IF(F22=0,0,P22/F22)</f>
        <v/>
      </c>
      <c r="R22" s="52">
        <f>IF(O22=0,0,P22/O22)</f>
        <v/>
      </c>
    </row>
    <row r="24" ht="16.5" customHeight="1">
      <c r="A24" s="53" t="inlineStr">
        <is>
          <t>OPT B</t>
        </is>
      </c>
      <c r="B24" s="54" t="inlineStr">
        <is>
          <t>OPTION B — Full Door Replacement  |  Certified fire door sets — RECOMMENDED</t>
        </is>
      </c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</row>
    <row r="25" ht="12.75" customHeight="1">
      <c r="B25" s="38" t="inlineStr">
        <is>
          <t>Quantities = doors marked YES in Door Schedule Option B column, by BASE ITEM code. Type 2 surveys show PENDING — fire strategy required.</t>
        </is>
      </c>
    </row>
    <row r="26" ht="15.75" customHeight="1">
      <c r="A26" s="39" t="inlineStr">
        <is>
          <t>B.01</t>
        </is>
      </c>
      <c r="B26" s="13" t="inlineStr">
        <is>
          <t>FD30 — Single Leaf, Paint Grade, Height up to 2040mm</t>
        </is>
      </c>
      <c r="C26" s="40">
        <f>COUNTIFS('Door Schedule'!$P:$P,"A01",'Door Schedule'!$O:$O,"YES")</f>
        <v/>
      </c>
      <c r="D26" s="14" t="inlineStr">
        <is>
          <t>no</t>
        </is>
      </c>
      <c r="E26" s="41">
        <f>IFERROR(VLOOKUP("A01",'Rate Card'!$A:$H,8,FALSE()),0)</f>
        <v/>
      </c>
      <c r="F26" s="42">
        <f>IF(C26=0,0,C26*E26)</f>
        <v/>
      </c>
      <c r="G26" s="43">
        <f>IFERROR(VLOOKUP("A01",'Rate Card'!$A:$H,4,FALSE()),0)</f>
        <v/>
      </c>
      <c r="H26" s="44">
        <f>IF(C26=0,0,C26*G26)</f>
        <v/>
      </c>
      <c r="I26" s="43">
        <f>IFERROR(VLOOKUP("A01",'Rate Card'!$A:$H,5,FALSE()),0)</f>
        <v/>
      </c>
      <c r="J26" s="44">
        <f>IF(C26=0,0,C26*I26)</f>
        <v/>
      </c>
      <c r="K26" s="43">
        <f>IFERROR(VLOOKUP("A01",'Rate Card'!$A:$H,6,FALSE()),0)</f>
        <v/>
      </c>
      <c r="L26" s="44">
        <f>IF(C26=0,0,C26*K26)</f>
        <v/>
      </c>
      <c r="M26" s="43">
        <f>IFERROR(VLOOKUP("A01",'Rate Card'!$A:$H,7,FALSE()),0)</f>
        <v/>
      </c>
      <c r="N26" s="44">
        <f>IF(C26=0,0,C26*M26)</f>
        <v/>
      </c>
      <c r="O26" s="44">
        <f>SUM(H26,J26,L26,N26)</f>
        <v/>
      </c>
      <c r="P26" s="44">
        <f>F26-O26</f>
        <v/>
      </c>
      <c r="Q26" s="45">
        <f>IF(F26=0,0,P26/F26)</f>
        <v/>
      </c>
      <c r="R26" s="45">
        <f>IF(O26=0,0,P26/O26)</f>
        <v/>
      </c>
    </row>
    <row r="27" ht="15.75" customHeight="1">
      <c r="A27" s="46" t="inlineStr">
        <is>
          <t>B.02</t>
        </is>
      </c>
      <c r="B27" s="19" t="inlineStr">
        <is>
          <t>FD30 — Single Leaf, Paint Grade, Height 2040–2400mm</t>
        </is>
      </c>
      <c r="C27" s="47">
        <f>COUNTIFS('Door Schedule'!$P:$P,"A02",'Door Schedule'!$O:$O,"YES")</f>
        <v/>
      </c>
      <c r="D27" s="20" t="inlineStr">
        <is>
          <t>no</t>
        </is>
      </c>
      <c r="E27" s="48">
        <f>IFERROR(VLOOKUP("A02",'Rate Card'!$A:$H,8,FALSE()),0)</f>
        <v/>
      </c>
      <c r="F27" s="49">
        <f>IF(C27=0,0,C27*E27)</f>
        <v/>
      </c>
      <c r="G27" s="50">
        <f>IFERROR(VLOOKUP("A02",'Rate Card'!$A:$H,4,FALSE()),0)</f>
        <v/>
      </c>
      <c r="H27" s="51">
        <f>IF(C27=0,0,C27*G27)</f>
        <v/>
      </c>
      <c r="I27" s="50">
        <f>IFERROR(VLOOKUP("A02",'Rate Card'!$A:$H,5,FALSE()),0)</f>
        <v/>
      </c>
      <c r="J27" s="51">
        <f>IF(C27=0,0,C27*I27)</f>
        <v/>
      </c>
      <c r="K27" s="50">
        <f>IFERROR(VLOOKUP("A02",'Rate Card'!$A:$H,6,FALSE()),0)</f>
        <v/>
      </c>
      <c r="L27" s="51">
        <f>IF(C27=0,0,C27*K27)</f>
        <v/>
      </c>
      <c r="M27" s="50">
        <f>IFERROR(VLOOKUP("A02",'Rate Card'!$A:$H,7,FALSE()),0)</f>
        <v/>
      </c>
      <c r="N27" s="51">
        <f>IF(C27=0,0,C27*M27)</f>
        <v/>
      </c>
      <c r="O27" s="51">
        <f>SUM(H27,J27,L27,N27)</f>
        <v/>
      </c>
      <c r="P27" s="51">
        <f>F27-O27</f>
        <v/>
      </c>
      <c r="Q27" s="52">
        <f>IF(F27=0,0,P27/F27)</f>
        <v/>
      </c>
      <c r="R27" s="52">
        <f>IF(O27=0,0,P27/O27)</f>
        <v/>
      </c>
    </row>
    <row r="28" ht="15.75" customHeight="1">
      <c r="A28" s="39" t="inlineStr">
        <is>
          <t>B.03</t>
        </is>
      </c>
      <c r="B28" s="13" t="inlineStr">
        <is>
          <t>FD30 — Single Leaf, Paint Grade, Height 2400–2730mm</t>
        </is>
      </c>
      <c r="C28" s="40">
        <f>COUNTIFS('Door Schedule'!$P:$P,"A03",'Door Schedule'!$O:$O,"YES")</f>
        <v/>
      </c>
      <c r="D28" s="14" t="inlineStr">
        <is>
          <t>no</t>
        </is>
      </c>
      <c r="E28" s="41">
        <f>IFERROR(VLOOKUP("A03",'Rate Card'!$A:$H,8,FALSE()),0)</f>
        <v/>
      </c>
      <c r="F28" s="42">
        <f>IF(C28=0,0,C28*E28)</f>
        <v/>
      </c>
      <c r="G28" s="43">
        <f>IFERROR(VLOOKUP("A03",'Rate Card'!$A:$H,4,FALSE()),0)</f>
        <v/>
      </c>
      <c r="H28" s="44">
        <f>IF(C28=0,0,C28*G28)</f>
        <v/>
      </c>
      <c r="I28" s="43">
        <f>IFERROR(VLOOKUP("A03",'Rate Card'!$A:$H,5,FALSE()),0)</f>
        <v/>
      </c>
      <c r="J28" s="44">
        <f>IF(C28=0,0,C28*I28)</f>
        <v/>
      </c>
      <c r="K28" s="43">
        <f>IFERROR(VLOOKUP("A03",'Rate Card'!$A:$H,6,FALSE()),0)</f>
        <v/>
      </c>
      <c r="L28" s="44">
        <f>IF(C28=0,0,C28*K28)</f>
        <v/>
      </c>
      <c r="M28" s="43">
        <f>IFERROR(VLOOKUP("A03",'Rate Card'!$A:$H,7,FALSE()),0)</f>
        <v/>
      </c>
      <c r="N28" s="44">
        <f>IF(C28=0,0,C28*M28)</f>
        <v/>
      </c>
      <c r="O28" s="44">
        <f>SUM(H28,J28,L28,N28)</f>
        <v/>
      </c>
      <c r="P28" s="44">
        <f>F28-O28</f>
        <v/>
      </c>
      <c r="Q28" s="45">
        <f>IF(F28=0,0,P28/F28)</f>
        <v/>
      </c>
      <c r="R28" s="45">
        <f>IF(O28=0,0,P28/O28)</f>
        <v/>
      </c>
    </row>
    <row r="29" ht="15.75" customHeight="1">
      <c r="A29" s="46" t="inlineStr">
        <is>
          <t>B.04</t>
        </is>
      </c>
      <c r="B29" s="19" t="inlineStr">
        <is>
          <t>FD30 — Double Leaf, Paint Grade, Height up to 2040mm</t>
        </is>
      </c>
      <c r="C29" s="47">
        <f>COUNTIFS('Door Schedule'!$P:$P,"A04",'Door Schedule'!$O:$O,"YES")</f>
        <v/>
      </c>
      <c r="D29" s="20" t="inlineStr">
        <is>
          <t>no</t>
        </is>
      </c>
      <c r="E29" s="48">
        <f>IFERROR(VLOOKUP("A04",'Rate Card'!$A:$H,8,FALSE()),0)</f>
        <v/>
      </c>
      <c r="F29" s="49">
        <f>IF(C29=0,0,C29*E29)</f>
        <v/>
      </c>
      <c r="G29" s="50">
        <f>IFERROR(VLOOKUP("A04",'Rate Card'!$A:$H,4,FALSE()),0)</f>
        <v/>
      </c>
      <c r="H29" s="51">
        <f>IF(C29=0,0,C29*G29)</f>
        <v/>
      </c>
      <c r="I29" s="50">
        <f>IFERROR(VLOOKUP("A04",'Rate Card'!$A:$H,5,FALSE()),0)</f>
        <v/>
      </c>
      <c r="J29" s="51">
        <f>IF(C29=0,0,C29*I29)</f>
        <v/>
      </c>
      <c r="K29" s="50">
        <f>IFERROR(VLOOKUP("A04",'Rate Card'!$A:$H,6,FALSE()),0)</f>
        <v/>
      </c>
      <c r="L29" s="51">
        <f>IF(C29=0,0,C29*K29)</f>
        <v/>
      </c>
      <c r="M29" s="50">
        <f>IFERROR(VLOOKUP("A04",'Rate Card'!$A:$H,7,FALSE()),0)</f>
        <v/>
      </c>
      <c r="N29" s="51">
        <f>IF(C29=0,0,C29*M29)</f>
        <v/>
      </c>
      <c r="O29" s="51">
        <f>SUM(H29,J29,L29,N29)</f>
        <v/>
      </c>
      <c r="P29" s="51">
        <f>F29-O29</f>
        <v/>
      </c>
      <c r="Q29" s="52">
        <f>IF(F29=0,0,P29/F29)</f>
        <v/>
      </c>
      <c r="R29" s="52">
        <f>IF(O29=0,0,P29/O29)</f>
        <v/>
      </c>
    </row>
    <row r="30" ht="15.75" customHeight="1">
      <c r="A30" s="39" t="inlineStr">
        <is>
          <t>B.05</t>
        </is>
      </c>
      <c r="B30" s="13" t="inlineStr">
        <is>
          <t>FD30S — Single Leaf, Paint Grade + Smoke Seals, Height up to 2040mm</t>
        </is>
      </c>
      <c r="C30" s="40">
        <f>COUNTIFS('Door Schedule'!$P:$P,"A05",'Door Schedule'!$O:$O,"YES")</f>
        <v/>
      </c>
      <c r="D30" s="14" t="inlineStr">
        <is>
          <t>no</t>
        </is>
      </c>
      <c r="E30" s="41">
        <f>IFERROR(VLOOKUP("A05",'Rate Card'!$A:$H,8,FALSE()),0)</f>
        <v/>
      </c>
      <c r="F30" s="42">
        <f>IF(C30=0,0,C30*E30)</f>
        <v/>
      </c>
      <c r="G30" s="43">
        <f>IFERROR(VLOOKUP("A05",'Rate Card'!$A:$H,4,FALSE()),0)</f>
        <v/>
      </c>
      <c r="H30" s="44">
        <f>IF(C30=0,0,C30*G30)</f>
        <v/>
      </c>
      <c r="I30" s="43">
        <f>IFERROR(VLOOKUP("A05",'Rate Card'!$A:$H,5,FALSE()),0)</f>
        <v/>
      </c>
      <c r="J30" s="44">
        <f>IF(C30=0,0,C30*I30)</f>
        <v/>
      </c>
      <c r="K30" s="43">
        <f>IFERROR(VLOOKUP("A05",'Rate Card'!$A:$H,6,FALSE()),0)</f>
        <v/>
      </c>
      <c r="L30" s="44">
        <f>IF(C30=0,0,C30*K30)</f>
        <v/>
      </c>
      <c r="M30" s="43">
        <f>IFERROR(VLOOKUP("A05",'Rate Card'!$A:$H,7,FALSE()),0)</f>
        <v/>
      </c>
      <c r="N30" s="44">
        <f>IF(C30=0,0,C30*M30)</f>
        <v/>
      </c>
      <c r="O30" s="44">
        <f>SUM(H30,J30,L30,N30)</f>
        <v/>
      </c>
      <c r="P30" s="44">
        <f>F30-O30</f>
        <v/>
      </c>
      <c r="Q30" s="45">
        <f>IF(F30=0,0,P30/F30)</f>
        <v/>
      </c>
      <c r="R30" s="45">
        <f>IF(O30=0,0,P30/O30)</f>
        <v/>
      </c>
    </row>
    <row r="31" ht="15.75" customHeight="1">
      <c r="A31" s="46" t="inlineStr">
        <is>
          <t>B.06</t>
        </is>
      </c>
      <c r="B31" s="19" t="inlineStr">
        <is>
          <t>FD30S — Single Leaf, Paint Grade + Smoke Seals, Height 2040–2400mm</t>
        </is>
      </c>
      <c r="C31" s="47">
        <f>COUNTIFS('Door Schedule'!$P:$P,"A06",'Door Schedule'!$O:$O,"YES")</f>
        <v/>
      </c>
      <c r="D31" s="20" t="inlineStr">
        <is>
          <t>no</t>
        </is>
      </c>
      <c r="E31" s="48">
        <f>IFERROR(VLOOKUP("A06",'Rate Card'!$A:$H,8,FALSE()),0)</f>
        <v/>
      </c>
      <c r="F31" s="49">
        <f>IF(C31=0,0,C31*E31)</f>
        <v/>
      </c>
      <c r="G31" s="50">
        <f>IFERROR(VLOOKUP("A06",'Rate Card'!$A:$H,4,FALSE()),0)</f>
        <v/>
      </c>
      <c r="H31" s="51">
        <f>IF(C31=0,0,C31*G31)</f>
        <v/>
      </c>
      <c r="I31" s="50">
        <f>IFERROR(VLOOKUP("A06",'Rate Card'!$A:$H,5,FALSE()),0)</f>
        <v/>
      </c>
      <c r="J31" s="51">
        <f>IF(C31=0,0,C31*I31)</f>
        <v/>
      </c>
      <c r="K31" s="50">
        <f>IFERROR(VLOOKUP("A06",'Rate Card'!$A:$H,6,FALSE()),0)</f>
        <v/>
      </c>
      <c r="L31" s="51">
        <f>IF(C31=0,0,C31*K31)</f>
        <v/>
      </c>
      <c r="M31" s="50">
        <f>IFERROR(VLOOKUP("A06",'Rate Card'!$A:$H,7,FALSE()),0)</f>
        <v/>
      </c>
      <c r="N31" s="51">
        <f>IF(C31=0,0,C31*M31)</f>
        <v/>
      </c>
      <c r="O31" s="51">
        <f>SUM(H31,J31,L31,N31)</f>
        <v/>
      </c>
      <c r="P31" s="51">
        <f>F31-O31</f>
        <v/>
      </c>
      <c r="Q31" s="52">
        <f>IF(F31=0,0,P31/F31)</f>
        <v/>
      </c>
      <c r="R31" s="52">
        <f>IF(O31=0,0,P31/O31)</f>
        <v/>
      </c>
    </row>
    <row r="32" ht="15.75" customHeight="1">
      <c r="A32" s="39" t="inlineStr">
        <is>
          <t>B.07</t>
        </is>
      </c>
      <c r="B32" s="13" t="inlineStr">
        <is>
          <t>FD30S — Single Leaf, Paint Grade + Smoke Seals, Height 2400–2730mm</t>
        </is>
      </c>
      <c r="C32" s="40">
        <f>COUNTIFS('Door Schedule'!$P:$P,"A07",'Door Schedule'!$O:$O,"YES")</f>
        <v/>
      </c>
      <c r="D32" s="14" t="inlineStr">
        <is>
          <t>no</t>
        </is>
      </c>
      <c r="E32" s="41">
        <f>IFERROR(VLOOKUP("A07",'Rate Card'!$A:$H,8,FALSE()),0)</f>
        <v/>
      </c>
      <c r="F32" s="42">
        <f>IF(C32=0,0,C32*E32)</f>
        <v/>
      </c>
      <c r="G32" s="43">
        <f>IFERROR(VLOOKUP("A07",'Rate Card'!$A:$H,4,FALSE()),0)</f>
        <v/>
      </c>
      <c r="H32" s="44">
        <f>IF(C32=0,0,C32*G32)</f>
        <v/>
      </c>
      <c r="I32" s="43">
        <f>IFERROR(VLOOKUP("A07",'Rate Card'!$A:$H,5,FALSE()),0)</f>
        <v/>
      </c>
      <c r="J32" s="44">
        <f>IF(C32=0,0,C32*I32)</f>
        <v/>
      </c>
      <c r="K32" s="43">
        <f>IFERROR(VLOOKUP("A07",'Rate Card'!$A:$H,6,FALSE()),0)</f>
        <v/>
      </c>
      <c r="L32" s="44">
        <f>IF(C32=0,0,C32*K32)</f>
        <v/>
      </c>
      <c r="M32" s="43">
        <f>IFERROR(VLOOKUP("A07",'Rate Card'!$A:$H,7,FALSE()),0)</f>
        <v/>
      </c>
      <c r="N32" s="44">
        <f>IF(C32=0,0,C32*M32)</f>
        <v/>
      </c>
      <c r="O32" s="44">
        <f>SUM(H32,J32,L32,N32)</f>
        <v/>
      </c>
      <c r="P32" s="44">
        <f>F32-O32</f>
        <v/>
      </c>
      <c r="Q32" s="45">
        <f>IF(F32=0,0,P32/F32)</f>
        <v/>
      </c>
      <c r="R32" s="45">
        <f>IF(O32=0,0,P32/O32)</f>
        <v/>
      </c>
    </row>
    <row r="33" ht="15.75" customHeight="1">
      <c r="A33" s="46" t="inlineStr">
        <is>
          <t>B.08</t>
        </is>
      </c>
      <c r="B33" s="19" t="inlineStr">
        <is>
          <t>FD30S — Double Leaf, Paint Grade + Smoke Seals, Height up to 2040mm</t>
        </is>
      </c>
      <c r="C33" s="47">
        <f>COUNTIFS('Door Schedule'!$P:$P,"A08",'Door Schedule'!$O:$O,"YES")</f>
        <v/>
      </c>
      <c r="D33" s="20" t="inlineStr">
        <is>
          <t>no</t>
        </is>
      </c>
      <c r="E33" s="48">
        <f>IFERROR(VLOOKUP("A08",'Rate Card'!$A:$H,8,FALSE()),0)</f>
        <v/>
      </c>
      <c r="F33" s="49">
        <f>IF(C33=0,0,C33*E33)</f>
        <v/>
      </c>
      <c r="G33" s="50">
        <f>IFERROR(VLOOKUP("A08",'Rate Card'!$A:$H,4,FALSE()),0)</f>
        <v/>
      </c>
      <c r="H33" s="51">
        <f>IF(C33=0,0,C33*G33)</f>
        <v/>
      </c>
      <c r="I33" s="50">
        <f>IFERROR(VLOOKUP("A08",'Rate Card'!$A:$H,5,FALSE()),0)</f>
        <v/>
      </c>
      <c r="J33" s="51">
        <f>IF(C33=0,0,C33*I33)</f>
        <v/>
      </c>
      <c r="K33" s="50">
        <f>IFERROR(VLOOKUP("A08",'Rate Card'!$A:$H,6,FALSE()),0)</f>
        <v/>
      </c>
      <c r="L33" s="51">
        <f>IF(C33=0,0,C33*K33)</f>
        <v/>
      </c>
      <c r="M33" s="50">
        <f>IFERROR(VLOOKUP("A08",'Rate Card'!$A:$H,7,FALSE()),0)</f>
        <v/>
      </c>
      <c r="N33" s="51">
        <f>IF(C33=0,0,C33*M33)</f>
        <v/>
      </c>
      <c r="O33" s="51">
        <f>SUM(H33,J33,L33,N33)</f>
        <v/>
      </c>
      <c r="P33" s="51">
        <f>F33-O33</f>
        <v/>
      </c>
      <c r="Q33" s="52">
        <f>IF(F33=0,0,P33/F33)</f>
        <v/>
      </c>
      <c r="R33" s="52">
        <f>IF(O33=0,0,P33/O33)</f>
        <v/>
      </c>
    </row>
    <row r="34" ht="15.75" customHeight="1">
      <c r="A34" s="39" t="inlineStr">
        <is>
          <t>B.09</t>
        </is>
      </c>
      <c r="B34" s="13" t="inlineStr">
        <is>
          <t>FD60S — Single Leaf, Paint Grade + Smoke Seals, Height up to 2040mm</t>
        </is>
      </c>
      <c r="C34" s="40">
        <f>COUNTIFS('Door Schedule'!$P:$P,"A09",'Door Schedule'!$O:$O,"YES")</f>
        <v/>
      </c>
      <c r="D34" s="14" t="inlineStr">
        <is>
          <t>no</t>
        </is>
      </c>
      <c r="E34" s="41">
        <f>IFERROR(VLOOKUP("A09",'Rate Card'!$A:$H,8,FALSE()),0)</f>
        <v/>
      </c>
      <c r="F34" s="42">
        <f>IF(C34=0,0,C34*E34)</f>
        <v/>
      </c>
      <c r="G34" s="43">
        <f>IFERROR(VLOOKUP("A09",'Rate Card'!$A:$H,4,FALSE()),0)</f>
        <v/>
      </c>
      <c r="H34" s="44">
        <f>IF(C34=0,0,C34*G34)</f>
        <v/>
      </c>
      <c r="I34" s="43">
        <f>IFERROR(VLOOKUP("A09",'Rate Card'!$A:$H,5,FALSE()),0)</f>
        <v/>
      </c>
      <c r="J34" s="44">
        <f>IF(C34=0,0,C34*I34)</f>
        <v/>
      </c>
      <c r="K34" s="43">
        <f>IFERROR(VLOOKUP("A09",'Rate Card'!$A:$H,6,FALSE()),0)</f>
        <v/>
      </c>
      <c r="L34" s="44">
        <f>IF(C34=0,0,C34*K34)</f>
        <v/>
      </c>
      <c r="M34" s="43">
        <f>IFERROR(VLOOKUP("A09",'Rate Card'!$A:$H,7,FALSE()),0)</f>
        <v/>
      </c>
      <c r="N34" s="44">
        <f>IF(C34=0,0,C34*M34)</f>
        <v/>
      </c>
      <c r="O34" s="44">
        <f>SUM(H34,J34,L34,N34)</f>
        <v/>
      </c>
      <c r="P34" s="44">
        <f>F34-O34</f>
        <v/>
      </c>
      <c r="Q34" s="45">
        <f>IF(F34=0,0,P34/F34)</f>
        <v/>
      </c>
      <c r="R34" s="45">
        <f>IF(O34=0,0,P34/O34)</f>
        <v/>
      </c>
    </row>
    <row r="35" ht="15.75" customHeight="1">
      <c r="A35" s="46" t="inlineStr">
        <is>
          <t>B.10</t>
        </is>
      </c>
      <c r="B35" s="19" t="inlineStr">
        <is>
          <t>FD60S — Single Leaf, Paint Grade + Smoke Seals, Height 2040–2400mm</t>
        </is>
      </c>
      <c r="C35" s="47">
        <f>COUNTIFS('Door Schedule'!$P:$P,"A10",'Door Schedule'!$O:$O,"YES")</f>
        <v/>
      </c>
      <c r="D35" s="20" t="inlineStr">
        <is>
          <t>no</t>
        </is>
      </c>
      <c r="E35" s="48">
        <f>IFERROR(VLOOKUP("A10",'Rate Card'!$A:$H,8,FALSE()),0)</f>
        <v/>
      </c>
      <c r="F35" s="49">
        <f>IF(C35=0,0,C35*E35)</f>
        <v/>
      </c>
      <c r="G35" s="50">
        <f>IFERROR(VLOOKUP("A10",'Rate Card'!$A:$H,4,FALSE()),0)</f>
        <v/>
      </c>
      <c r="H35" s="51">
        <f>IF(C35=0,0,C35*G35)</f>
        <v/>
      </c>
      <c r="I35" s="50">
        <f>IFERROR(VLOOKUP("A10",'Rate Card'!$A:$H,5,FALSE()),0)</f>
        <v/>
      </c>
      <c r="J35" s="51">
        <f>IF(C35=0,0,C35*I35)</f>
        <v/>
      </c>
      <c r="K35" s="50">
        <f>IFERROR(VLOOKUP("A10",'Rate Card'!$A:$H,6,FALSE()),0)</f>
        <v/>
      </c>
      <c r="L35" s="51">
        <f>IF(C35=0,0,C35*K35)</f>
        <v/>
      </c>
      <c r="M35" s="50">
        <f>IFERROR(VLOOKUP("A10",'Rate Card'!$A:$H,7,FALSE()),0)</f>
        <v/>
      </c>
      <c r="N35" s="51">
        <f>IF(C35=0,0,C35*M35)</f>
        <v/>
      </c>
      <c r="O35" s="51">
        <f>SUM(H35,J35,L35,N35)</f>
        <v/>
      </c>
      <c r="P35" s="51">
        <f>F35-O35</f>
        <v/>
      </c>
      <c r="Q35" s="52">
        <f>IF(F35=0,0,P35/F35)</f>
        <v/>
      </c>
      <c r="R35" s="52">
        <f>IF(O35=0,0,P35/O35)</f>
        <v/>
      </c>
    </row>
    <row r="36" ht="15.75" customHeight="1">
      <c r="A36" s="39" t="inlineStr">
        <is>
          <t>B.11</t>
        </is>
      </c>
      <c r="B36" s="13" t="inlineStr">
        <is>
          <t>FD60S — Double Leaf, Paint Grade + Smoke Seals, Height up to 2040mm</t>
        </is>
      </c>
      <c r="C36" s="40">
        <f>COUNTIFS('Door Schedule'!$P:$P,"A11",'Door Schedule'!$O:$O,"YES")</f>
        <v/>
      </c>
      <c r="D36" s="14" t="inlineStr">
        <is>
          <t>no</t>
        </is>
      </c>
      <c r="E36" s="41">
        <f>IFERROR(VLOOKUP("A11",'Rate Card'!$A:$H,8,FALSE()),0)</f>
        <v/>
      </c>
      <c r="F36" s="42">
        <f>IF(C36=0,0,C36*E36)</f>
        <v/>
      </c>
      <c r="G36" s="43">
        <f>IFERROR(VLOOKUP("A11",'Rate Card'!$A:$H,4,FALSE()),0)</f>
        <v/>
      </c>
      <c r="H36" s="44">
        <f>IF(C36=0,0,C36*G36)</f>
        <v/>
      </c>
      <c r="I36" s="43">
        <f>IFERROR(VLOOKUP("A11",'Rate Card'!$A:$H,5,FALSE()),0)</f>
        <v/>
      </c>
      <c r="J36" s="44">
        <f>IF(C36=0,0,C36*I36)</f>
        <v/>
      </c>
      <c r="K36" s="43">
        <f>IFERROR(VLOOKUP("A11",'Rate Card'!$A:$H,6,FALSE()),0)</f>
        <v/>
      </c>
      <c r="L36" s="44">
        <f>IF(C36=0,0,C36*K36)</f>
        <v/>
      </c>
      <c r="M36" s="43">
        <f>IFERROR(VLOOKUP("A11",'Rate Card'!$A:$H,7,FALSE()),0)</f>
        <v/>
      </c>
      <c r="N36" s="44">
        <f>IF(C36=0,0,C36*M36)</f>
        <v/>
      </c>
      <c r="O36" s="44">
        <f>SUM(H36,J36,L36,N36)</f>
        <v/>
      </c>
      <c r="P36" s="44">
        <f>F36-O36</f>
        <v/>
      </c>
      <c r="Q36" s="45">
        <f>IF(F36=0,0,P36/F36)</f>
        <v/>
      </c>
      <c r="R36" s="45">
        <f>IF(O36=0,0,P36/O36)</f>
        <v/>
      </c>
    </row>
    <row r="37" ht="15.75" customHeight="1">
      <c r="A37" s="46" t="inlineStr">
        <is>
          <t>B.12</t>
        </is>
      </c>
      <c r="B37" s="19" t="inlineStr">
        <is>
          <t>E/O Hardwood Veneer Finish (per door)</t>
        </is>
      </c>
      <c r="C37" s="47">
        <f>COUNTIFS('Door Schedule'!$P:$P,"A12",'Door Schedule'!$O:$O,"YES")</f>
        <v/>
      </c>
      <c r="D37" s="20" t="inlineStr">
        <is>
          <t>no</t>
        </is>
      </c>
      <c r="E37" s="48">
        <f>IFERROR(VLOOKUP("A12",'Rate Card'!$A:$H,8,FALSE()),0)</f>
        <v/>
      </c>
      <c r="F37" s="49">
        <f>IF(C37=0,0,C37*E37)</f>
        <v/>
      </c>
      <c r="G37" s="50">
        <f>IFERROR(VLOOKUP("A12",'Rate Card'!$A:$H,4,FALSE()),0)</f>
        <v/>
      </c>
      <c r="H37" s="51">
        <f>IF(C37=0,0,C37*G37)</f>
        <v/>
      </c>
      <c r="I37" s="50">
        <f>IFERROR(VLOOKUP("A12",'Rate Card'!$A:$H,5,FALSE()),0)</f>
        <v/>
      </c>
      <c r="J37" s="51">
        <f>IF(C37=0,0,C37*I37)</f>
        <v/>
      </c>
      <c r="K37" s="50">
        <f>IFERROR(VLOOKUP("A12",'Rate Card'!$A:$H,6,FALSE()),0)</f>
        <v/>
      </c>
      <c r="L37" s="51">
        <f>IF(C37=0,0,C37*K37)</f>
        <v/>
      </c>
      <c r="M37" s="50">
        <f>IFERROR(VLOOKUP("A12",'Rate Card'!$A:$H,7,FALSE()),0)</f>
        <v/>
      </c>
      <c r="N37" s="51">
        <f>IF(C37=0,0,C37*M37)</f>
        <v/>
      </c>
      <c r="O37" s="51">
        <f>SUM(H37,J37,L37,N37)</f>
        <v/>
      </c>
      <c r="P37" s="51">
        <f>F37-O37</f>
        <v/>
      </c>
      <c r="Q37" s="52">
        <f>IF(F37=0,0,P37/F37)</f>
        <v/>
      </c>
      <c r="R37" s="52">
        <f>IF(O37=0,0,P37/O37)</f>
        <v/>
      </c>
    </row>
    <row r="38" ht="15.75" customHeight="1">
      <c r="A38" s="39" t="inlineStr">
        <is>
          <t>B.13</t>
        </is>
      </c>
      <c r="B38" s="13" t="inlineStr">
        <is>
          <t>E/O External Grade Specification (per door)</t>
        </is>
      </c>
      <c r="C38" s="40">
        <f>COUNTIFS('Door Schedule'!$P:$P,"A13",'Door Schedule'!$O:$O,"YES")</f>
        <v/>
      </c>
      <c r="D38" s="14" t="inlineStr">
        <is>
          <t>no</t>
        </is>
      </c>
      <c r="E38" s="41">
        <f>IFERROR(VLOOKUP("A13",'Rate Card'!$A:$H,8,FALSE()),0)</f>
        <v/>
      </c>
      <c r="F38" s="42">
        <f>IF(C38=0,0,C38*E38)</f>
        <v/>
      </c>
      <c r="G38" s="43">
        <f>IFERROR(VLOOKUP("A13",'Rate Card'!$A:$H,4,FALSE()),0)</f>
        <v/>
      </c>
      <c r="H38" s="44">
        <f>IF(C38=0,0,C38*G38)</f>
        <v/>
      </c>
      <c r="I38" s="43">
        <f>IFERROR(VLOOKUP("A13",'Rate Card'!$A:$H,5,FALSE()),0)</f>
        <v/>
      </c>
      <c r="J38" s="44">
        <f>IF(C38=0,0,C38*I38)</f>
        <v/>
      </c>
      <c r="K38" s="43">
        <f>IFERROR(VLOOKUP("A13",'Rate Card'!$A:$H,6,FALSE()),0)</f>
        <v/>
      </c>
      <c r="L38" s="44">
        <f>IF(C38=0,0,C38*K38)</f>
        <v/>
      </c>
      <c r="M38" s="43">
        <f>IFERROR(VLOOKUP("A13",'Rate Card'!$A:$H,7,FALSE()),0)</f>
        <v/>
      </c>
      <c r="N38" s="44">
        <f>IF(C38=0,0,C38*M38)</f>
        <v/>
      </c>
      <c r="O38" s="44">
        <f>SUM(H38,J38,L38,N38)</f>
        <v/>
      </c>
      <c r="P38" s="44">
        <f>F38-O38</f>
        <v/>
      </c>
      <c r="Q38" s="45">
        <f>IF(F38=0,0,P38/F38)</f>
        <v/>
      </c>
      <c r="R38" s="45">
        <f>IF(O38=0,0,P38/O38)</f>
        <v/>
      </c>
    </row>
    <row r="39" ht="15.75" customHeight="1">
      <c r="A39" s="46" t="inlineStr">
        <is>
          <t>B.14</t>
        </is>
      </c>
      <c r="B39" s="19" t="inlineStr">
        <is>
          <t>E/O Fire-Rated Vision Panel up to 300 x 600mm</t>
        </is>
      </c>
      <c r="C39" s="47">
        <f>COUNTIFS('Door Schedule'!$P:$P,"A14",'Door Schedule'!$O:$O,"YES")</f>
        <v/>
      </c>
      <c r="D39" s="20" t="inlineStr">
        <is>
          <t>no</t>
        </is>
      </c>
      <c r="E39" s="48">
        <f>IFERROR(VLOOKUP("A14",'Rate Card'!$A:$H,8,FALSE()),0)</f>
        <v/>
      </c>
      <c r="F39" s="49">
        <f>IF(C39=0,0,C39*E39)</f>
        <v/>
      </c>
      <c r="G39" s="50">
        <f>IFERROR(VLOOKUP("A14",'Rate Card'!$A:$H,4,FALSE()),0)</f>
        <v/>
      </c>
      <c r="H39" s="51">
        <f>IF(C39=0,0,C39*G39)</f>
        <v/>
      </c>
      <c r="I39" s="50">
        <f>IFERROR(VLOOKUP("A14",'Rate Card'!$A:$H,5,FALSE()),0)</f>
        <v/>
      </c>
      <c r="J39" s="51">
        <f>IF(C39=0,0,C39*I39)</f>
        <v/>
      </c>
      <c r="K39" s="50">
        <f>IFERROR(VLOOKUP("A14",'Rate Card'!$A:$H,6,FALSE()),0)</f>
        <v/>
      </c>
      <c r="L39" s="51">
        <f>IF(C39=0,0,C39*K39)</f>
        <v/>
      </c>
      <c r="M39" s="50">
        <f>IFERROR(VLOOKUP("A14",'Rate Card'!$A:$H,7,FALSE()),0)</f>
        <v/>
      </c>
      <c r="N39" s="51">
        <f>IF(C39=0,0,C39*M39)</f>
        <v/>
      </c>
      <c r="O39" s="51">
        <f>SUM(H39,J39,L39,N39)</f>
        <v/>
      </c>
      <c r="P39" s="51">
        <f>F39-O39</f>
        <v/>
      </c>
      <c r="Q39" s="52">
        <f>IF(F39=0,0,P39/F39)</f>
        <v/>
      </c>
      <c r="R39" s="52">
        <f>IF(O39=0,0,P39/O39)</f>
        <v/>
      </c>
    </row>
    <row r="40" ht="15.75" customHeight="1">
      <c r="A40" s="39" t="inlineStr">
        <is>
          <t>B.15</t>
        </is>
      </c>
      <c r="B40" s="13" t="inlineStr">
        <is>
          <t>E/O Fire-Rated Vision Panel over 300 x 600mm</t>
        </is>
      </c>
      <c r="C40" s="40">
        <f>COUNTIFS('Door Schedule'!$P:$P,"A15",'Door Schedule'!$O:$O,"YES")</f>
        <v/>
      </c>
      <c r="D40" s="14" t="inlineStr">
        <is>
          <t>no</t>
        </is>
      </c>
      <c r="E40" s="41">
        <f>IFERROR(VLOOKUP("A15",'Rate Card'!$A:$H,8,FALSE()),0)</f>
        <v/>
      </c>
      <c r="F40" s="42">
        <f>IF(C40=0,0,C40*E40)</f>
        <v/>
      </c>
      <c r="G40" s="43">
        <f>IFERROR(VLOOKUP("A15",'Rate Card'!$A:$H,4,FALSE()),0)</f>
        <v/>
      </c>
      <c r="H40" s="44">
        <f>IF(C40=0,0,C40*G40)</f>
        <v/>
      </c>
      <c r="I40" s="43">
        <f>IFERROR(VLOOKUP("A15",'Rate Card'!$A:$H,5,FALSE()),0)</f>
        <v/>
      </c>
      <c r="J40" s="44">
        <f>IF(C40=0,0,C40*I40)</f>
        <v/>
      </c>
      <c r="K40" s="43">
        <f>IFERROR(VLOOKUP("A15",'Rate Card'!$A:$H,6,FALSE()),0)</f>
        <v/>
      </c>
      <c r="L40" s="44">
        <f>IF(C40=0,0,C40*K40)</f>
        <v/>
      </c>
      <c r="M40" s="43">
        <f>IFERROR(VLOOKUP("A15",'Rate Card'!$A:$H,7,FALSE()),0)</f>
        <v/>
      </c>
      <c r="N40" s="44">
        <f>IF(C40=0,0,C40*M40)</f>
        <v/>
      </c>
      <c r="O40" s="44">
        <f>SUM(H40,J40,L40,N40)</f>
        <v/>
      </c>
      <c r="P40" s="44">
        <f>F40-O40</f>
        <v/>
      </c>
      <c r="Q40" s="45">
        <f>IF(F40=0,0,P40/F40)</f>
        <v/>
      </c>
      <c r="R40" s="45">
        <f>IF(O40=0,0,P40/O40)</f>
        <v/>
      </c>
    </row>
    <row r="42" ht="16.5" customHeight="1">
      <c r="A42" s="56" t="inlineStr">
        <is>
          <t>PRE</t>
        </is>
      </c>
      <c r="B42" s="11" t="inlineStr">
        <is>
          <t>PRELIMINARIES &amp; ANCILLARIES  |  Applied to whichever option is chosen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</row>
    <row r="43" ht="15.75" customHeight="1">
      <c r="A43" s="39" t="inlineStr">
        <is>
          <t>P.01</t>
        </is>
      </c>
      <c r="B43" s="13" t="inlineStr">
        <is>
          <t>Mobilisation / Site setup (per visit)</t>
        </is>
      </c>
      <c r="C43" s="57" t="n">
        <v>1</v>
      </c>
      <c r="D43" s="14" t="inlineStr">
        <is>
          <t>visit</t>
        </is>
      </c>
      <c r="E43" s="41">
        <f>IFERROR(VLOOKUP("C01",'Rate Card'!$A:$H,8,FALSE()),0)</f>
        <v/>
      </c>
      <c r="F43" s="42">
        <f>IF(C43=0,0,C43*E43)</f>
        <v/>
      </c>
      <c r="G43" s="43">
        <f>IFERROR(VLOOKUP("C01",'Rate Card'!$A:$H,4,FALSE()),0)</f>
        <v/>
      </c>
      <c r="H43" s="44">
        <f>IF(C43=0,0,C43*G43)</f>
        <v/>
      </c>
      <c r="I43" s="43">
        <f>IFERROR(VLOOKUP("C01",'Rate Card'!$A:$H,5,FALSE()),0)</f>
        <v/>
      </c>
      <c r="J43" s="44">
        <f>IF(C43=0,0,C43*I43)</f>
        <v/>
      </c>
      <c r="K43" s="43">
        <f>IFERROR(VLOOKUP("C01",'Rate Card'!$A:$H,6,FALSE()),0)</f>
        <v/>
      </c>
      <c r="L43" s="44">
        <f>IF(C43=0,0,C43*K43)</f>
        <v/>
      </c>
      <c r="M43" s="43">
        <f>IFERROR(VLOOKUP("C01",'Rate Card'!$A:$H,7,FALSE()),0)</f>
        <v/>
      </c>
      <c r="N43" s="44">
        <f>IF(C43=0,0,C43*M43)</f>
        <v/>
      </c>
      <c r="O43" s="44">
        <f>SUM(H43,J43,L43,N43)</f>
        <v/>
      </c>
      <c r="P43" s="44">
        <f>F43-O43</f>
        <v/>
      </c>
      <c r="Q43" s="45">
        <f>IF(F43=0,0,P43/F43)</f>
        <v/>
      </c>
      <c r="R43" s="45">
        <f>IF(O43=0,0,P43/O43)</f>
        <v/>
      </c>
    </row>
    <row r="44" ht="15.75" customHeight="1">
      <c r="A44" s="46" t="inlineStr">
        <is>
          <t>P.02</t>
        </is>
      </c>
      <c r="B44" s="19" t="inlineStr">
        <is>
          <t>Waste removal &amp; disposal</t>
        </is>
      </c>
      <c r="C44" s="57" t="n">
        <v>1</v>
      </c>
      <c r="D44" s="20" t="inlineStr">
        <is>
          <t>no</t>
        </is>
      </c>
      <c r="E44" s="48">
        <f>IFERROR(VLOOKUP("C02",'Rate Card'!$A:$H,8,FALSE()),0)</f>
        <v/>
      </c>
      <c r="F44" s="49">
        <f>IF(C44=0,0,C44*E44)</f>
        <v/>
      </c>
      <c r="G44" s="50">
        <f>IFERROR(VLOOKUP("C02",'Rate Card'!$A:$H,4,FALSE()),0)</f>
        <v/>
      </c>
      <c r="H44" s="51">
        <f>IF(C44=0,0,C44*G44)</f>
        <v/>
      </c>
      <c r="I44" s="50">
        <f>IFERROR(VLOOKUP("C02",'Rate Card'!$A:$H,5,FALSE()),0)</f>
        <v/>
      </c>
      <c r="J44" s="51">
        <f>IF(C44=0,0,C44*I44)</f>
        <v/>
      </c>
      <c r="K44" s="50">
        <f>IFERROR(VLOOKUP("C02",'Rate Card'!$A:$H,6,FALSE()),0)</f>
        <v/>
      </c>
      <c r="L44" s="51">
        <f>IF(C44=0,0,C44*K44)</f>
        <v/>
      </c>
      <c r="M44" s="50">
        <f>IFERROR(VLOOKUP("C02",'Rate Card'!$A:$H,7,FALSE()),0)</f>
        <v/>
      </c>
      <c r="N44" s="51">
        <f>IF(C44=0,0,C44*M44)</f>
        <v/>
      </c>
      <c r="O44" s="51">
        <f>SUM(H44,J44,L44,N44)</f>
        <v/>
      </c>
      <c r="P44" s="51">
        <f>F44-O44</f>
        <v/>
      </c>
      <c r="Q44" s="52">
        <f>IF(F44=0,0,P44/F44)</f>
        <v/>
      </c>
      <c r="R44" s="52">
        <f>IF(O44=0,0,P44/O44)</f>
        <v/>
      </c>
    </row>
    <row r="45" ht="15.75" customHeight="1">
      <c r="A45" s="39" t="inlineStr">
        <is>
          <t>P.03</t>
        </is>
      </c>
      <c r="B45" s="13" t="inlineStr">
        <is>
          <t>Certification &amp; completion documentation</t>
        </is>
      </c>
      <c r="C45" s="57" t="n">
        <v>1</v>
      </c>
      <c r="D45" s="14" t="inlineStr">
        <is>
          <t>no</t>
        </is>
      </c>
      <c r="E45" s="41">
        <f>IFERROR(VLOOKUP("C03",'Rate Card'!$A:$H,8,FALSE()),0)</f>
        <v/>
      </c>
      <c r="F45" s="42">
        <f>IF(C45=0,0,C45*E45)</f>
        <v/>
      </c>
      <c r="G45" s="43">
        <f>IFERROR(VLOOKUP("C03",'Rate Card'!$A:$H,4,FALSE()),0)</f>
        <v/>
      </c>
      <c r="H45" s="44">
        <f>IF(C45=0,0,C45*G45)</f>
        <v/>
      </c>
      <c r="I45" s="43">
        <f>IFERROR(VLOOKUP("C03",'Rate Card'!$A:$H,5,FALSE()),0)</f>
        <v/>
      </c>
      <c r="J45" s="44">
        <f>IF(C45=0,0,C45*I45)</f>
        <v/>
      </c>
      <c r="K45" s="43">
        <f>IFERROR(VLOOKUP("C03",'Rate Card'!$A:$H,6,FALSE()),0)</f>
        <v/>
      </c>
      <c r="L45" s="44">
        <f>IF(C45=0,0,C45*K45)</f>
        <v/>
      </c>
      <c r="M45" s="43">
        <f>IFERROR(VLOOKUP("C03",'Rate Card'!$A:$H,7,FALSE()),0)</f>
        <v/>
      </c>
      <c r="N45" s="44">
        <f>IF(C45=0,0,C45*M45)</f>
        <v/>
      </c>
      <c r="O45" s="44">
        <f>SUM(H45,J45,L45,N45)</f>
        <v/>
      </c>
      <c r="P45" s="44">
        <f>F45-O45</f>
        <v/>
      </c>
      <c r="Q45" s="45">
        <f>IF(F45=0,0,P45/F45)</f>
        <v/>
      </c>
      <c r="R45" s="45">
        <f>IF(O45=0,0,P45/O45)</f>
        <v/>
      </c>
    </row>
    <row r="46" ht="15.75" customHeight="1">
      <c r="A46" s="46" t="inlineStr">
        <is>
          <t>P.04</t>
        </is>
      </c>
      <c r="B46" s="19" t="inlineStr">
        <is>
          <t>Out-of-hours uplift (if required)</t>
        </is>
      </c>
      <c r="C46" s="57" t="n">
        <v>1</v>
      </c>
      <c r="D46" s="20" t="inlineStr">
        <is>
          <t>day</t>
        </is>
      </c>
      <c r="E46" s="48">
        <f>IFERROR(VLOOKUP("C04",'Rate Card'!$A:$H,8,FALSE()),0)</f>
        <v/>
      </c>
      <c r="F46" s="49">
        <f>IF(C46=0,0,C46*E46)</f>
        <v/>
      </c>
      <c r="G46" s="50">
        <f>IFERROR(VLOOKUP("C04",'Rate Card'!$A:$H,4,FALSE()),0)</f>
        <v/>
      </c>
      <c r="H46" s="51">
        <f>IF(C46=0,0,C46*G46)</f>
        <v/>
      </c>
      <c r="I46" s="50">
        <f>IFERROR(VLOOKUP("C04",'Rate Card'!$A:$H,5,FALSE()),0)</f>
        <v/>
      </c>
      <c r="J46" s="51">
        <f>IF(C46=0,0,C46*I46)</f>
        <v/>
      </c>
      <c r="K46" s="50">
        <f>IFERROR(VLOOKUP("C04",'Rate Card'!$A:$H,6,FALSE()),0)</f>
        <v/>
      </c>
      <c r="L46" s="51">
        <f>IF(C46=0,0,C46*K46)</f>
        <v/>
      </c>
      <c r="M46" s="50">
        <f>IFERROR(VLOOKUP("C04",'Rate Card'!$A:$H,7,FALSE()),0)</f>
        <v/>
      </c>
      <c r="N46" s="51">
        <f>IF(C46=0,0,C46*M46)</f>
        <v/>
      </c>
      <c r="O46" s="51">
        <f>SUM(H46,J46,L46,N46)</f>
        <v/>
      </c>
      <c r="P46" s="51">
        <f>F46-O46</f>
        <v/>
      </c>
      <c r="Q46" s="52">
        <f>IF(F46=0,0,P46/F46)</f>
        <v/>
      </c>
      <c r="R46" s="52">
        <f>IF(O46=0,0,P46/O46)</f>
        <v/>
      </c>
    </row>
    <row r="47" ht="15.75" customHeight="1">
      <c r="A47" s="39" t="inlineStr">
        <is>
          <t>P.05</t>
        </is>
      </c>
      <c r="B47" s="13" t="inlineStr">
        <is>
          <t>Scaffold / access equipment — PROVISIONAL</t>
        </is>
      </c>
      <c r="C47" s="57" t="n">
        <v>1</v>
      </c>
      <c r="D47" s="14" t="inlineStr">
        <is>
          <t>item</t>
        </is>
      </c>
      <c r="E47" s="41">
        <f>IFERROR(VLOOKUP("C05",'Rate Card'!$A:$H,8,FALSE()),0)</f>
        <v/>
      </c>
      <c r="F47" s="42">
        <f>IF(C47=0,0,C47*E47)</f>
        <v/>
      </c>
      <c r="G47" s="43">
        <f>IFERROR(VLOOKUP("C05",'Rate Card'!$A:$H,4,FALSE()),0)</f>
        <v/>
      </c>
      <c r="H47" s="44">
        <f>IF(C47=0,0,C47*G47)</f>
        <v/>
      </c>
      <c r="I47" s="43">
        <f>IFERROR(VLOOKUP("C05",'Rate Card'!$A:$H,5,FALSE()),0)</f>
        <v/>
      </c>
      <c r="J47" s="44">
        <f>IF(C47=0,0,C47*I47)</f>
        <v/>
      </c>
      <c r="K47" s="43">
        <f>IFERROR(VLOOKUP("C05",'Rate Card'!$A:$H,6,FALSE()),0)</f>
        <v/>
      </c>
      <c r="L47" s="44">
        <f>IF(C47=0,0,C47*K47)</f>
        <v/>
      </c>
      <c r="M47" s="43">
        <f>IFERROR(VLOOKUP("C05",'Rate Card'!$A:$H,7,FALSE()),0)</f>
        <v/>
      </c>
      <c r="N47" s="44">
        <f>IF(C47=0,0,C47*M47)</f>
        <v/>
      </c>
      <c r="O47" s="44">
        <f>SUM(H47,J47,L47,N47)</f>
        <v/>
      </c>
      <c r="P47" s="44">
        <f>F47-O47</f>
        <v/>
      </c>
      <c r="Q47" s="45">
        <f>IF(F47=0,0,P47/F47)</f>
        <v/>
      </c>
      <c r="R47" s="45">
        <f>IF(O47=0,0,P47/O47)</f>
        <v/>
      </c>
    </row>
    <row r="49" ht="18" customHeight="1">
      <c r="A49" s="58" t="n"/>
      <c r="B49" s="59" t="inlineStr">
        <is>
          <t>OPTION A TOTAL</t>
        </is>
      </c>
      <c r="C49" s="58" t="n"/>
      <c r="D49" s="58" t="n"/>
      <c r="E49" s="58" t="n"/>
      <c r="F49" s="60">
        <f>SUM(F11,F12,F13,F14,F15,F16,F17,F18,F19,F20,F21,F22,F43,F44,F45,F46,F47)</f>
        <v/>
      </c>
      <c r="G49" s="58" t="n"/>
      <c r="H49" s="60">
        <f>SUM(H11,H12,H13,H14,H15,H16,H17,H18,H19,H20,H21,H22,H43,H44,H45,H46,H47)</f>
        <v/>
      </c>
      <c r="I49" s="58" t="n"/>
      <c r="J49" s="60">
        <f>SUM(J11,J12,J13,J14,J15,J16,J17,J18,J19,J20,J21,J22,J43,J44,J45,J46,J47)</f>
        <v/>
      </c>
      <c r="K49" s="58" t="n"/>
      <c r="L49" s="60">
        <f>SUM(L11,L12,L13,L14,L15,L16,L17,L18,L19,L20,L21,L22,L43,L44,L45,L46,L47)</f>
        <v/>
      </c>
      <c r="M49" s="58" t="n"/>
      <c r="N49" s="60">
        <f>SUM(N11,N12,N13,N14,N15,N16,N17,N18,N19,N20,N21,N22,N43,N44,N45,N46,N47)</f>
        <v/>
      </c>
      <c r="O49" s="60">
        <f>SUM(O11,O12,O13,O14,O15,O16,O17,O18,O19,O20,O21,O22,O43,O44,O45,O46,O47)</f>
        <v/>
      </c>
      <c r="P49" s="60">
        <f>SUM(P11,P12,P13,P14,P15,P16,P17,P18,P19,P20,P21,P22,P43,P44,P45,P46,P47)</f>
        <v/>
      </c>
      <c r="Q49" s="61">
        <f>IF(F49=0,0,P49/F49)</f>
        <v/>
      </c>
      <c r="R49" s="61">
        <f>IF(O49=0,0,P49/O49)</f>
        <v/>
      </c>
    </row>
    <row r="50" ht="18" customHeight="1">
      <c r="A50" s="53" t="n"/>
      <c r="B50" s="54" t="inlineStr">
        <is>
          <t>OPTION B TOTAL (RECOMMENDED)</t>
        </is>
      </c>
      <c r="C50" s="53" t="n"/>
      <c r="D50" s="53" t="n"/>
      <c r="E50" s="53" t="n"/>
      <c r="F50" s="62">
        <f>SUM(F26,F27,F28,F29,F30,F31,F32,F33,F34,F35,F36,F37,F38,F39,F40,F43,F44,F45,F46,F47)</f>
        <v/>
      </c>
      <c r="G50" s="53" t="n"/>
      <c r="H50" s="62">
        <f>SUM(H26,H27,H28,H29,H30,H31,H32,H33,H34,H35,H36,H37,H38,H39,H40,H43,H44,H45,H46,H47)</f>
        <v/>
      </c>
      <c r="I50" s="53" t="n"/>
      <c r="J50" s="62">
        <f>SUM(J26,J27,J28,J29,J30,J31,J32,J33,J34,J35,J36,J37,J38,J39,J40,J43,J44,J45,J46,J47)</f>
        <v/>
      </c>
      <c r="K50" s="53" t="n"/>
      <c r="L50" s="62">
        <f>SUM(L26,L27,L28,L29,L30,L31,L32,L33,L34,L35,L36,L37,L38,L39,L40,L43,L44,L45,L46,L47)</f>
        <v/>
      </c>
      <c r="M50" s="53" t="n"/>
      <c r="N50" s="62">
        <f>SUM(N26,N27,N28,N29,N30,N31,N32,N33,N34,N35,N36,N37,N38,N39,N40,N43,N44,N45,N46,N47)</f>
        <v/>
      </c>
      <c r="O50" s="62">
        <f>SUM(O26,O27,O28,O29,O30,O31,O32,O33,O34,O35,O36,O37,O38,O39,O40,O43,O44,O45,O46,O47)</f>
        <v/>
      </c>
      <c r="P50" s="62">
        <f>SUM(P26,P27,P28,P29,P30,P31,P32,P33,P34,P35,P36,P37,P38,P39,P40,P43,P44,P45,P46,P47)</f>
        <v/>
      </c>
      <c r="Q50" s="63">
        <f>IF(F50=0,0,P50/F50)</f>
        <v/>
      </c>
      <c r="R50" s="63">
        <f>IF(O50=0,0,P50/O50)</f>
        <v/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30" customWidth="1" min="3" max="3"/>
    <col width="8" customWidth="1" min="4" max="5"/>
    <col width="18" customWidth="1" min="6" max="7"/>
    <col width="12" customWidth="1" min="8" max="8"/>
    <col width="35" customWidth="1" min="9" max="9"/>
  </cols>
  <sheetData>
    <row r="1" ht="21.75" customHeight="1">
      <c r="A1" s="8" t="inlineStr">
        <is>
          <t>FIRE DOOR REMEDIAL WORKS — MATERIAL CALL-OFF  |  Auto-generated on job win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27.75" customHeight="1">
      <c r="A2" s="3" t="inlineStr">
        <is>
          <t>IMPORTANT: Door sizes (leaf width and height) must be physically measured on site before ordering. All other components can be ordered from this list immediately.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</row>
    <row r="3" ht="12.75" customHeight="1">
      <c r="A3" s="6" t="inlineStr">
        <is>
          <t>B11 (lipping) and B12 (void infill) added to components list. Quantities for these are counted from Door Schedule — typical rate approx 20% of surveyed doors.</t>
        </is>
      </c>
    </row>
    <row r="7" ht="18" customHeight="1">
      <c r="A7" s="9" t="inlineStr">
        <is>
          <t>DOOR ID</t>
        </is>
      </c>
      <c r="B7" s="9" t="inlineStr">
        <is>
          <t>LOCATION</t>
        </is>
      </c>
      <c r="C7" s="9" t="inlineStr">
        <is>
          <t>COMPONENT</t>
        </is>
      </c>
      <c r="D7" s="9" t="inlineStr">
        <is>
          <t>QTY</t>
        </is>
      </c>
      <c r="E7" s="9" t="inlineStr">
        <is>
          <t>UNIT</t>
        </is>
      </c>
      <c r="F7" s="9" t="inlineStr">
        <is>
          <t>ORDER STATUS</t>
        </is>
      </c>
      <c r="G7" s="9" t="inlineStr">
        <is>
          <t>SUPPLIER</t>
        </is>
      </c>
      <c r="H7" s="9" t="inlineStr">
        <is>
          <t>COST EX VAT</t>
        </is>
      </c>
      <c r="I7" s="9" t="inlineStr">
        <is>
          <t>NOTES / FLAGS</t>
        </is>
      </c>
    </row>
    <row r="8" ht="15.75" customHeight="1">
      <c r="A8" s="64" t="n"/>
      <c r="B8" s="65" t="inlineStr">
        <is>
          <t>FIRE DOORS — SIZES MUST BE MEASURED ON SITE BEFORE ORDERING (Option B only)</t>
        </is>
      </c>
      <c r="C8" s="64" t="n"/>
      <c r="D8" s="64" t="n"/>
      <c r="E8" s="64" t="n"/>
      <c r="F8" s="64" t="n"/>
      <c r="G8" s="64" t="n"/>
      <c r="H8" s="64" t="n"/>
      <c r="I8" s="64" t="n"/>
    </row>
    <row r="9" ht="16.5" customHeight="1">
      <c r="A9" s="19" t="inlineStr">
        <is>
          <t>A12-L3</t>
        </is>
      </c>
      <c r="B9" s="19" t="inlineStr">
        <is>
          <t>Core 5 tenant door to WCs</t>
        </is>
      </c>
      <c r="C9" s="66" t="inlineStr">
        <is>
          <t>FD60S Single Leaf — MEASURE BEFORE ORDER</t>
        </is>
      </c>
      <c r="D9" s="19" t="n">
        <v>1</v>
      </c>
      <c r="E9" s="19" t="inlineStr">
        <is>
          <t>no</t>
        </is>
      </c>
      <c r="F9" s="27" t="inlineStr">
        <is>
          <t>Pending</t>
        </is>
      </c>
      <c r="G9" s="19" t="n"/>
      <c r="H9" s="19" t="n"/>
      <c r="I9" s="19" t="inlineStr">
        <is>
          <t>Survey dims: 2650x950x70mm — VERIFY ON SITE</t>
        </is>
      </c>
    </row>
    <row r="10" ht="16.5" customHeight="1">
      <c r="A10" s="13" t="inlineStr">
        <is>
          <t>A14-L3</t>
        </is>
      </c>
      <c r="B10" s="13" t="inlineStr">
        <is>
          <t>Core 4 tenant DB riser</t>
        </is>
      </c>
      <c r="C10" s="67" t="inlineStr">
        <is>
          <t>FD30 Double Leaf — MEASURE BEFORE ORDER</t>
        </is>
      </c>
      <c r="D10" s="13" t="n">
        <v>1</v>
      </c>
      <c r="E10" s="13" t="inlineStr">
        <is>
          <t>no</t>
        </is>
      </c>
      <c r="F10" s="27" t="inlineStr">
        <is>
          <t>Pending</t>
        </is>
      </c>
      <c r="G10" s="13" t="n"/>
      <c r="H10" s="13" t="n"/>
      <c r="I10" s="13" t="inlineStr">
        <is>
          <t>Survey dims: 2650x1810x135mm — VERIFY ON SITE</t>
        </is>
      </c>
    </row>
    <row r="12" ht="15.75" customHeight="1">
      <c r="A12" s="55" t="n"/>
      <c r="B12" s="54" t="inlineStr">
        <is>
          <t>COMPONENTS — READY TO ORDER (quantities aggregated across all doors)</t>
        </is>
      </c>
      <c r="C12" s="55" t="n"/>
      <c r="D12" s="55" t="n"/>
      <c r="E12" s="55" t="n"/>
      <c r="F12" s="55" t="n"/>
      <c r="G12" s="55" t="n"/>
      <c r="H12" s="55" t="n"/>
      <c r="I12" s="55" t="n"/>
    </row>
    <row r="13" ht="16.5" customHeight="1">
      <c r="A13" s="13" t="inlineStr">
        <is>
          <t>ALL</t>
        </is>
      </c>
      <c r="B13" s="13" t="inlineStr">
        <is>
          <t>All doors</t>
        </is>
      </c>
      <c r="C13" s="13" t="inlineStr">
        <is>
          <t>Overhead door closer — CE-marked, BS EN 1154</t>
        </is>
      </c>
      <c r="D13" s="13">
        <f>COUNTIF('Door Schedule'!I:I,"Overhead Closer")</f>
        <v/>
      </c>
      <c r="E13" s="13" t="inlineStr">
        <is>
          <t>no</t>
        </is>
      </c>
      <c r="F13" s="23" t="inlineStr">
        <is>
          <t>Ready to order</t>
        </is>
      </c>
      <c r="G13" s="13" t="n"/>
      <c r="H13" s="13" t="n"/>
      <c r="I13" s="13" t="inlineStr">
        <is>
          <t>Count from Door Schedule col I</t>
        </is>
      </c>
    </row>
    <row r="14" ht="16.5" customHeight="1">
      <c r="A14" s="19" t="inlineStr">
        <is>
          <t>ALL</t>
        </is>
      </c>
      <c r="B14" s="19" t="inlineStr">
        <is>
          <t>All doors</t>
        </is>
      </c>
      <c r="C14" s="19" t="inlineStr">
        <is>
          <t>Hinge set (3 hinges) — BS EN 1935 Grade 11</t>
        </is>
      </c>
      <c r="D14" s="19">
        <f>COUNTA('Door Schedule'!A:A)-4</f>
        <v/>
      </c>
      <c r="E14" s="19" t="inlineStr">
        <is>
          <t>sets</t>
        </is>
      </c>
      <c r="F14" s="23" t="inlineStr">
        <is>
          <t>Ready to order</t>
        </is>
      </c>
      <c r="G14" s="19" t="n"/>
      <c r="H14" s="19" t="n"/>
      <c r="I14" s="19" t="inlineStr">
        <is>
          <t>One set per door requiring hinge work</t>
        </is>
      </c>
    </row>
    <row r="15" ht="16.5" customHeight="1">
      <c r="A15" s="13" t="inlineStr">
        <is>
          <t>ALL</t>
        </is>
      </c>
      <c r="B15" s="13" t="inlineStr">
        <is>
          <t>All doors</t>
        </is>
      </c>
      <c r="C15" s="13" t="inlineStr">
        <is>
          <t>Intumescent + smoke seals — 10mm x 4mm double fin white</t>
        </is>
      </c>
      <c r="D15" s="13">
        <f>COUNTIF('Door Schedule'!H:H,"*Smoke*")</f>
        <v/>
      </c>
      <c r="E15" s="13" t="inlineStr">
        <is>
          <t>doors</t>
        </is>
      </c>
      <c r="F15" s="23" t="inlineStr">
        <is>
          <t>Ready to order</t>
        </is>
      </c>
      <c r="G15" s="13" t="n"/>
      <c r="H15" s="13" t="n"/>
      <c r="I15" s="13" t="inlineStr">
        <is>
          <t>One linear kit per door</t>
        </is>
      </c>
    </row>
    <row r="16" ht="16.5" customHeight="1">
      <c r="A16" s="19" t="inlineStr">
        <is>
          <t>ALL</t>
        </is>
      </c>
      <c r="B16" s="19" t="inlineStr">
        <is>
          <t>All doors</t>
        </is>
      </c>
      <c r="C16" s="19" t="inlineStr">
        <is>
          <t>Intumescent seals only (no smoke seal)</t>
        </is>
      </c>
      <c r="D16" s="19">
        <f>COUNTIF('Door Schedule'!N:N,"YES")-COUNTIF('Door Schedule'!H:H,"*Smoke*")</f>
        <v/>
      </c>
      <c r="E16" s="19" t="inlineStr">
        <is>
          <t>doors</t>
        </is>
      </c>
      <c r="F16" s="23" t="inlineStr">
        <is>
          <t>Ready to order</t>
        </is>
      </c>
      <c r="G16" s="19" t="n"/>
      <c r="H16" s="19" t="n"/>
      <c r="I16" s="19" t="inlineStr">
        <is>
          <t>Doors with seals action but no smoke seal</t>
        </is>
      </c>
    </row>
    <row r="17" ht="16.5" customHeight="1">
      <c r="A17" s="13" t="inlineStr">
        <is>
          <t>ALL</t>
        </is>
      </c>
      <c r="B17" s="13" t="inlineStr">
        <is>
          <t>All doors</t>
        </is>
      </c>
      <c r="C17" s="13" t="inlineStr">
        <is>
          <t>Fire door signage — 'Keep Shut' / 'Keep Locked'</t>
        </is>
      </c>
      <c r="D17" s="13">
        <f>COUNTIF('Door Schedule'!N:N,"YES")*2</f>
        <v/>
      </c>
      <c r="E17" s="13" t="inlineStr">
        <is>
          <t>no</t>
        </is>
      </c>
      <c r="F17" s="23" t="inlineStr">
        <is>
          <t>Ready to order</t>
        </is>
      </c>
      <c r="G17" s="13" t="n"/>
      <c r="H17" s="13" t="n"/>
      <c r="I17" s="13" t="inlineStr">
        <is>
          <t>2 signs per door (both sides)</t>
        </is>
      </c>
    </row>
    <row r="18" ht="16.5" customHeight="1">
      <c r="A18" s="19" t="inlineStr">
        <is>
          <t>ALL</t>
        </is>
      </c>
      <c r="B18" s="19" t="inlineStr">
        <is>
          <t>All doors</t>
        </is>
      </c>
      <c r="C18" s="19" t="inlineStr">
        <is>
          <t>Drop seal / automatic threshold seal</t>
        </is>
      </c>
      <c r="D18" s="19" t="n">
        <v>0</v>
      </c>
      <c r="E18" s="19" t="inlineStr">
        <is>
          <t>no</t>
        </is>
      </c>
      <c r="F18" s="68" t="inlineStr">
        <is>
          <t>Check survey</t>
        </is>
      </c>
      <c r="G18" s="19" t="n"/>
      <c r="H18" s="19" t="n"/>
      <c r="I18" s="19" t="inlineStr">
        <is>
          <t>Count from doors with B09 code</t>
        </is>
      </c>
    </row>
    <row r="19" ht="16.5" customHeight="1">
      <c r="A19" s="13" t="inlineStr">
        <is>
          <t>ALL</t>
        </is>
      </c>
      <c r="B19" s="13" t="inlineStr">
        <is>
          <t>All doors</t>
        </is>
      </c>
      <c r="C19" s="13" t="inlineStr">
        <is>
          <t>Lever handle / latch set — CE-marked, SSS finish</t>
        </is>
      </c>
      <c r="D19" s="13" t="n">
        <v>0</v>
      </c>
      <c r="E19" s="13" t="inlineStr">
        <is>
          <t>no</t>
        </is>
      </c>
      <c r="F19" s="68" t="inlineStr">
        <is>
          <t>Check survey</t>
        </is>
      </c>
      <c r="G19" s="13" t="n"/>
      <c r="H19" s="13" t="n"/>
      <c r="I19" s="13" t="inlineStr">
        <is>
          <t>Count from doors with B05 code</t>
        </is>
      </c>
    </row>
    <row r="20" ht="16.5" customHeight="1">
      <c r="A20" s="19" t="inlineStr">
        <is>
          <t>ALL</t>
        </is>
      </c>
      <c r="B20" s="19" t="inlineStr">
        <is>
          <t>All doors</t>
        </is>
      </c>
      <c r="C20" s="19" t="inlineStr">
        <is>
          <t>Intumescent mastic — fire-stopping frame gaps</t>
        </is>
      </c>
      <c r="D20" s="19" t="n">
        <v>0</v>
      </c>
      <c r="E20" s="19" t="inlineStr">
        <is>
          <t>items</t>
        </is>
      </c>
      <c r="F20" s="68" t="inlineStr">
        <is>
          <t>Check survey</t>
        </is>
      </c>
      <c r="G20" s="19" t="n"/>
      <c r="H20" s="19" t="n"/>
      <c r="I20" s="19" t="inlineStr">
        <is>
          <t>Count from doors with B06 code</t>
        </is>
      </c>
    </row>
    <row r="21" ht="16.5" customHeight="1">
      <c r="A21" s="69" t="inlineStr">
        <is>
          <t>ALL</t>
        </is>
      </c>
      <c r="B21" s="69" t="inlineStr">
        <is>
          <t>All doors</t>
        </is>
      </c>
      <c r="C21" s="23" t="inlineStr">
        <is>
          <t>Hardwood lipping material (B11) — min density 640kg/m3</t>
        </is>
      </c>
      <c r="D21" s="69">
        <f>COUNTIF('Door Schedule'!P:P,"B11")</f>
        <v/>
      </c>
      <c r="E21" s="69" t="inlineStr">
        <is>
          <t>doors</t>
        </is>
      </c>
      <c r="F21" s="23" t="inlineStr">
        <is>
          <t>Ready to order</t>
        </is>
      </c>
      <c r="G21" s="69" t="n"/>
      <c r="H21" s="69" t="n"/>
      <c r="I21" s="23" t="inlineStr">
        <is>
          <t>NEW: count from B11-coded doors</t>
        </is>
      </c>
    </row>
    <row r="22" ht="16.5" customHeight="1">
      <c r="A22" s="69" t="inlineStr">
        <is>
          <t>ALL</t>
        </is>
      </c>
      <c r="B22" s="69" t="inlineStr">
        <is>
          <t>All doors</t>
        </is>
      </c>
      <c r="C22" s="23" t="inlineStr">
        <is>
          <t>Hardwood timber inserts for void infill (B12)</t>
        </is>
      </c>
      <c r="D22" s="69">
        <f>COUNTIF('Door Schedule'!P:P,"B12")</f>
        <v/>
      </c>
      <c r="E22" s="69" t="inlineStr">
        <is>
          <t>doors</t>
        </is>
      </c>
      <c r="F22" s="23" t="inlineStr">
        <is>
          <t>Ready to order</t>
        </is>
      </c>
      <c r="G22" s="69" t="n"/>
      <c r="H22" s="69" t="n"/>
      <c r="I22" s="23" t="inlineStr">
        <is>
          <t>NEW: count from B12-coded doors. Per void/hole.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pane ySplit="9" topLeftCell="A10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50" customWidth="1" min="2" max="2"/>
    <col width="14" customWidth="1" min="3" max="3"/>
    <col width="20" customWidth="1" min="4" max="5"/>
  </cols>
  <sheetData>
    <row r="1" ht="21.75" customHeight="1">
      <c r="A1" s="2" t="inlineStr">
        <is>
          <t>FIRE DOOR REMEDIAL WORKS — CLIENT PROPOSAL SUMMARY</t>
        </is>
      </c>
      <c r="B1" s="83" t="n"/>
      <c r="C1" s="83" t="n"/>
      <c r="D1" s="83" t="n"/>
      <c r="E1" s="83" t="n"/>
    </row>
    <row r="3">
      <c r="A3" s="70" t="inlineStr">
        <is>
          <t>Client:</t>
        </is>
      </c>
      <c r="B3" s="31">
        <f>'Quote Sheet'!B4</f>
        <v/>
      </c>
    </row>
    <row r="4">
      <c r="A4" s="70" t="inlineStr">
        <is>
          <t>Site:</t>
        </is>
      </c>
      <c r="B4" s="31">
        <f>'Quote Sheet'!B5</f>
        <v/>
      </c>
    </row>
    <row r="5">
      <c r="A5" s="70" t="inlineStr">
        <is>
          <t>Building:</t>
        </is>
      </c>
      <c r="B5" s="31">
        <f>'Quote Sheet'!B6</f>
        <v/>
      </c>
    </row>
    <row r="6">
      <c r="A6" s="70" t="inlineStr">
        <is>
          <t>Date:</t>
        </is>
      </c>
      <c r="B6" s="31">
        <f>'Quote Sheet'!B3</f>
        <v/>
      </c>
    </row>
    <row r="7">
      <c r="A7" s="70" t="inlineStr">
        <is>
          <t>Quote Ref:</t>
        </is>
      </c>
      <c r="B7" s="31">
        <f>'Quote Sheet'!B2</f>
        <v/>
      </c>
    </row>
    <row r="9" ht="18" customHeight="1">
      <c r="A9" s="9" t="inlineStr">
        <is>
          <t>SECTION</t>
        </is>
      </c>
      <c r="B9" s="9" t="inlineStr">
        <is>
          <t>DESCRIPTION</t>
        </is>
      </c>
      <c r="C9" s="9" t="inlineStr">
        <is>
          <t>NET COST</t>
        </is>
      </c>
      <c r="D9" s="71" t="inlineStr">
        <is>
          <t>OPTION A TOTAL</t>
        </is>
      </c>
      <c r="E9" s="72" t="inlineStr">
        <is>
          <t>OPTION B TOTAL</t>
        </is>
      </c>
    </row>
    <row r="10" ht="27.75" customHeight="1">
      <c r="A10" s="73" t="inlineStr">
        <is>
          <t>A</t>
        </is>
      </c>
      <c r="B10" s="73" t="inlineStr">
        <is>
          <t>Remedial Works (seals, closers, hinges, fire-stopping, signage, lipping, void infill)</t>
        </is>
      </c>
      <c r="C10" s="74" t="n">
        <v>1565</v>
      </c>
      <c r="D10" s="74">
        <f>SUM(F11,F12,F13,F14,F15,F16,F17,F18,F19,F20,F21,F22,F43,F44,F45,F46,F47)</f>
        <v/>
      </c>
      <c r="E10" s="75" t="inlineStr">
        <is>
          <t>N/A — Option B only</t>
        </is>
      </c>
    </row>
    <row r="11" ht="27.75" customHeight="1">
      <c r="A11" s="76" t="inlineStr">
        <is>
          <t>B</t>
        </is>
      </c>
      <c r="B11" s="76" t="inlineStr">
        <is>
          <t>Full Door Replacements (certified fire door sets — RECOMMENDED)</t>
        </is>
      </c>
      <c r="C11" s="77">
        <f>SUM(O26,O27,O28,O29,O30,O31,O32,O33,O34,O35,O36,O37,O38,O39,O40,O43,O44,O45,O46,O47)</f>
        <v/>
      </c>
      <c r="D11" s="75" t="inlineStr">
        <is>
          <t>N/A — Option A only</t>
        </is>
      </c>
      <c r="E11" s="77">
        <f>SUM(F26,F27,F28,F29,F30,F31,F32,F33,F34,F35,F36,F37,F38,F39,F40,F43,F44,F45,F46,F47)</f>
        <v/>
      </c>
    </row>
    <row r="12" ht="27.75" customHeight="1">
      <c r="A12" s="73" t="inlineStr">
        <is>
          <t>PRE</t>
        </is>
      </c>
      <c r="B12" s="73" t="inlineStr">
        <is>
          <t>Preliminaries &amp; Ancillaries</t>
        </is>
      </c>
      <c r="C12" s="74">
        <f>SUM(O43,O44,O45,O46,O47)</f>
        <v/>
      </c>
      <c r="D12" s="74">
        <f>SUM(F43,F44,F45,F46,F47)</f>
        <v/>
      </c>
      <c r="E12" s="74">
        <f>SUM(F43,F44,F45,F46,F47)</f>
        <v/>
      </c>
    </row>
    <row r="13" ht="21.75" customHeight="1">
      <c r="A13" s="78" t="n"/>
      <c r="B13" s="79" t="inlineStr">
        <is>
          <t>TOTAL INVESTMENT</t>
        </is>
      </c>
      <c r="C13" s="78" t="n"/>
      <c r="D13" s="80">
        <f>SUM(D10:D12)</f>
        <v/>
      </c>
      <c r="E13" s="81">
        <f>SUM(E10:E12)</f>
        <v/>
      </c>
    </row>
    <row r="15" ht="69.75" customHeight="1">
      <c r="A15" s="1" t="inlineStr">
        <is>
          <t>COMPLIANCE NOTE
Option A — Remedial Works Only: These works do not produce a certified fire door set. Fire resistance relies on landlord declaration only. Cheaper but limited assurance.
Option B — Full Replacement (RECOMMENDED): Certified fire door sets installed per fire strategy. Full BS-certified compliance, demonstrable liability protection. This is what the assessor recommends.
Note: Where input survey is Type 2 (Excel) format, Option B total may show 0 — fire strategy drawings are required to confirm the intended fire rating per door set before replacement can be priced.</t>
        </is>
      </c>
      <c r="B15" s="83" t="n"/>
      <c r="C15" s="83" t="n"/>
      <c r="D15" s="83" t="n"/>
      <c r="E15" s="83" t="n"/>
    </row>
    <row r="17" ht="15.75" customHeight="1">
      <c r="B17" s="70" t="inlineStr">
        <is>
          <t>Achieved Margins:</t>
        </is>
      </c>
      <c r="D17" s="82">
        <f>'Quote Sheet'!Q49</f>
        <v/>
      </c>
      <c r="E17" s="82">
        <f>'Quote Sheet'!Q50</f>
        <v/>
      </c>
    </row>
  </sheetData>
  <mergeCells count="2">
    <mergeCell ref="A15:E15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2026-03-19T04:59:29Z</dcterms:created>
  <dcterms:modified xmlns:dcterms="http://purl.org/dc/terms/" xmlns:xsi="http://www.w3.org/2001/XMLSchema-instance" xsi:type="dcterms:W3CDTF">2026-03-24T11:16:47Z</dcterms:modified>
  <cp:lastModifiedBy>Westley Harnett</cp:lastModifiedBy>
  <cp:revision>0</cp:revision>
</cp:coreProperties>
</file>