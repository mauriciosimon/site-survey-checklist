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name="Rate Card" sheetId="1" state="visible" r:id="rId1"/>
    <sheet name="Door Schedule" sheetId="2" state="visible" r:id="rId2"/>
    <sheet name="Quote Sheet" sheetId="3" state="visible" r:id="rId3"/>
    <sheet name="Material Call-Off" sheetId="4" state="visible" r:id="rId4"/>
    <sheet name="Client Summary" sheetId="5" state="visible" r:id="rId5"/>
  </sheets>
  <definedNames/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5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ED8B1"/>
        <bgColor rgb="00FED8B1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14" fillId="22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 wrapText="1"/>
    </xf>
    <xf numFmtId="0" fontId="14" fillId="23" borderId="2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left" vertical="center" wrapText="1"/>
    </xf>
    <xf numFmtId="0" fontId="7" fillId="24" borderId="2" applyAlignment="1" pivotButton="0" quotePrefix="0" xfId="0">
      <alignment horizontal="left" vertical="center" wrapText="1"/>
    </xf>
    <xf numFmtId="0" fontId="14" fillId="24" borderId="2" applyAlignment="1" pivotButton="0" quotePrefix="0" xfId="0">
      <alignment horizontal="left" vertical="center" wrapText="1"/>
    </xf>
    <xf numFmtId="0" fontId="6" fillId="24" borderId="2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 t="n">
        <v>555</v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 t="n">
        <v>625</v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 t="n">
        <v>700</v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 t="n">
        <v>950</v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 t="n">
        <v>625</v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 t="n">
        <v>695</v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 t="n">
        <v>770</v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 t="n">
        <v>1040</v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 t="n">
        <v>765</v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 t="n">
        <v>845</v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 t="n">
        <v>1220</v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 t="n">
        <v>120</v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 t="n">
        <v>90</v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 t="n">
        <v>135</v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 t="n">
        <v>195</v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120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120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 t="n">
        <v>170</v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 t="n">
        <v>50</v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 t="n">
        <v>40</v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 t="n">
        <v>200</v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 t="n">
        <v>0</v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1-1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Hinges missing screws; Missing seal at top of door, where self-closer replaced</t>
        </is>
      </c>
      <c r="L4" s="92" t="inlineStr">
        <is>
          <t>MEDIUM</t>
        </is>
      </c>
      <c r="M4" s="92" t="n"/>
      <c r="N4" s="93" t="inlineStr">
        <is>
          <t>YES</t>
        </is>
      </c>
      <c r="O4" s="92" t="inlineStr">
        <is>
          <t>PENDING</t>
        </is>
      </c>
      <c r="P4" s="94" t="inlineStr">
        <is>
          <t>B01</t>
        </is>
      </c>
      <c r="Q4" s="92" t="inlineStr">
        <is>
          <t>B01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n"/>
    </row>
    <row r="5" ht="18" customHeight="1">
      <c r="A5" s="95" t="inlineStr">
        <is>
          <t>Floor 1-4</t>
        </is>
      </c>
      <c r="B5" s="95" t="inlineStr">
        <is>
          <t>Floor 1</t>
        </is>
      </c>
      <c r="C5" s="95" t="inlineStr">
        <is>
          <t>From Survey</t>
        </is>
      </c>
      <c r="D5" s="95" t="inlineStr">
        <is>
          <t>Unknown</t>
        </is>
      </c>
      <c r="E5" s="95" t="inlineStr">
        <is>
          <t>Single Leaf</t>
        </is>
      </c>
      <c r="F5" s="95" t="inlineStr">
        <is>
          <t>Unknown</t>
        </is>
      </c>
      <c r="G5" s="95" t="inlineStr">
        <is>
          <t>Paint</t>
        </is>
      </c>
      <c r="H5" s="95" t="inlineStr">
        <is>
          <t>To Check</t>
        </is>
      </c>
      <c r="I5" s="95" t="inlineStr">
        <is>
          <t>To Check</t>
        </is>
      </c>
      <c r="J5" s="95" t="inlineStr">
        <is>
          <t>To Check</t>
        </is>
      </c>
      <c r="K5" s="95" t="inlineStr">
        <is>
          <t>Requires adjustment to overcome latch.</t>
        </is>
      </c>
      <c r="L5" s="95" t="inlineStr">
        <is>
          <t>MEDIUM</t>
        </is>
      </c>
      <c r="M5" s="95" t="n"/>
      <c r="N5" s="96" t="inlineStr">
        <is>
          <t>YES</t>
        </is>
      </c>
      <c r="O5" s="95" t="inlineStr">
        <is>
          <t>PENDING</t>
        </is>
      </c>
      <c r="P5" s="97" t="inlineStr">
        <is>
          <t>B05</t>
        </is>
      </c>
      <c r="Q5" s="95" t="inlineStr">
        <is>
          <t>B05</t>
        </is>
      </c>
      <c r="R5" s="95" t="inlineStr">
        <is>
          <t>NO</t>
        </is>
      </c>
      <c r="S5" s="95" t="inlineStr">
        <is>
          <t>NO</t>
        </is>
      </c>
      <c r="T5" s="95" t="inlineStr">
        <is>
          <t>NO</t>
        </is>
      </c>
      <c r="U5" s="95" t="inlineStr">
        <is>
          <t>NO</t>
        </is>
      </c>
      <c r="V5" s="95" t="n"/>
    </row>
    <row r="6" ht="18" customHeight="1">
      <c r="A6" s="95" t="inlineStr">
        <is>
          <t>Floor 1-5</t>
        </is>
      </c>
      <c r="B6" s="95" t="inlineStr">
        <is>
          <t>Floor 1</t>
        </is>
      </c>
      <c r="C6" s="95" t="inlineStr">
        <is>
          <t>From Survey</t>
        </is>
      </c>
      <c r="D6" s="95" t="inlineStr">
        <is>
          <t>Unknown</t>
        </is>
      </c>
      <c r="E6" s="95" t="inlineStr">
        <is>
          <t>Single Leaf</t>
        </is>
      </c>
      <c r="F6" s="95" t="inlineStr">
        <is>
          <t>Unknown</t>
        </is>
      </c>
      <c r="G6" s="95" t="inlineStr">
        <is>
          <t>Paint</t>
        </is>
      </c>
      <c r="H6" s="95" t="inlineStr">
        <is>
          <t>To Check</t>
        </is>
      </c>
      <c r="I6" s="95" t="inlineStr">
        <is>
          <t>To Check</t>
        </is>
      </c>
      <c r="J6" s="95" t="inlineStr">
        <is>
          <t>To Check</t>
        </is>
      </c>
      <c r="K6" s="95" t="inlineStr">
        <is>
          <t>Requires adjustment to overcome latch.</t>
        </is>
      </c>
      <c r="L6" s="95" t="inlineStr">
        <is>
          <t>MEDIUM</t>
        </is>
      </c>
      <c r="M6" s="95" t="n"/>
      <c r="N6" s="96" t="inlineStr">
        <is>
          <t>YES</t>
        </is>
      </c>
      <c r="O6" s="95" t="inlineStr">
        <is>
          <t>PENDING</t>
        </is>
      </c>
      <c r="P6" s="97" t="inlineStr">
        <is>
          <t>B05</t>
        </is>
      </c>
      <c r="Q6" s="95" t="inlineStr">
        <is>
          <t>B05</t>
        </is>
      </c>
      <c r="R6" s="95" t="inlineStr">
        <is>
          <t>NO</t>
        </is>
      </c>
      <c r="S6" s="95" t="inlineStr">
        <is>
          <t>NO</t>
        </is>
      </c>
      <c r="T6" s="95" t="inlineStr">
        <is>
          <t>NO</t>
        </is>
      </c>
      <c r="U6" s="95" t="inlineStr">
        <is>
          <t>NO</t>
        </is>
      </c>
      <c r="V6" s="95" t="n"/>
    </row>
    <row r="7" ht="18" customHeight="1">
      <c r="A7" s="95" t="inlineStr">
        <is>
          <t>Floor 1-7</t>
        </is>
      </c>
      <c r="B7" s="95" t="inlineStr">
        <is>
          <t>Floor 1</t>
        </is>
      </c>
      <c r="C7" s="95" t="inlineStr">
        <is>
          <t>From Survey</t>
        </is>
      </c>
      <c r="D7" s="95" t="inlineStr">
        <is>
          <t>Unknown</t>
        </is>
      </c>
      <c r="E7" s="95" t="inlineStr">
        <is>
          <t>Single Leaf</t>
        </is>
      </c>
      <c r="F7" s="95" t="inlineStr">
        <is>
          <t>Unknown</t>
        </is>
      </c>
      <c r="G7" s="95" t="inlineStr">
        <is>
          <t>Paint</t>
        </is>
      </c>
      <c r="H7" s="95" t="inlineStr">
        <is>
          <t>To Check</t>
        </is>
      </c>
      <c r="I7" s="95" t="inlineStr">
        <is>
          <t>To Check</t>
        </is>
      </c>
      <c r="J7" s="95" t="inlineStr">
        <is>
          <t>To Check</t>
        </is>
      </c>
      <c r="K7" s="95" t="inlineStr">
        <is>
          <t>Intumescent strip has been painted over</t>
        </is>
      </c>
      <c r="L7" s="95" t="inlineStr">
        <is>
          <t>MEDIUM</t>
        </is>
      </c>
      <c r="M7" s="95" t="n"/>
      <c r="N7" s="96" t="inlineStr">
        <is>
          <t>YES</t>
        </is>
      </c>
      <c r="O7" s="95" t="inlineStr">
        <is>
          <t>PENDING</t>
        </is>
      </c>
      <c r="P7" s="97" t="inlineStr">
        <is>
          <t>B02</t>
        </is>
      </c>
      <c r="Q7" s="95" t="inlineStr">
        <is>
          <t>B02</t>
        </is>
      </c>
      <c r="R7" s="95" t="inlineStr">
        <is>
          <t>NO</t>
        </is>
      </c>
      <c r="S7" s="95" t="inlineStr">
        <is>
          <t>NO</t>
        </is>
      </c>
      <c r="T7" s="95" t="inlineStr">
        <is>
          <t>NO</t>
        </is>
      </c>
      <c r="U7" s="95" t="inlineStr">
        <is>
          <t>NO</t>
        </is>
      </c>
      <c r="V7" s="95" t="n"/>
    </row>
    <row r="8" ht="18" customHeight="1">
      <c r="A8" s="95" t="inlineStr">
        <is>
          <t>Floor 1-11</t>
        </is>
      </c>
      <c r="B8" s="95" t="inlineStr">
        <is>
          <t>Floor 1</t>
        </is>
      </c>
      <c r="C8" s="95" t="inlineStr">
        <is>
          <t>From Survey</t>
        </is>
      </c>
      <c r="D8" s="95" t="inlineStr">
        <is>
          <t>Unknown</t>
        </is>
      </c>
      <c r="E8" s="95" t="inlineStr">
        <is>
          <t>Single Leaf</t>
        </is>
      </c>
      <c r="F8" s="95" t="inlineStr">
        <is>
          <t>Unknown</t>
        </is>
      </c>
      <c r="G8" s="95" t="inlineStr">
        <is>
          <t>Paint</t>
        </is>
      </c>
      <c r="H8" s="95" t="inlineStr">
        <is>
          <t>To Check</t>
        </is>
      </c>
      <c r="I8" s="95" t="inlineStr">
        <is>
          <t>To Check</t>
        </is>
      </c>
      <c r="J8" s="95" t="inlineStr">
        <is>
          <t>To Check</t>
        </is>
      </c>
      <c r="K8" s="95" t="inlineStr">
        <is>
          <t>Coming away on the bottom edge; Perco double chains noted in use on door</t>
        </is>
      </c>
      <c r="L8" s="95" t="inlineStr">
        <is>
          <t>MEDIUM</t>
        </is>
      </c>
      <c r="M8" s="95" t="n"/>
      <c r="N8" s="96" t="inlineStr">
        <is>
          <t>YES</t>
        </is>
      </c>
      <c r="O8" s="95" t="inlineStr">
        <is>
          <t>PENDING</t>
        </is>
      </c>
      <c r="P8" s="97" t="inlineStr">
        <is>
          <t>B01</t>
        </is>
      </c>
      <c r="Q8" s="95" t="inlineStr">
        <is>
          <t>B08, B01</t>
        </is>
      </c>
      <c r="R8" s="95" t="inlineStr">
        <is>
          <t>NO</t>
        </is>
      </c>
      <c r="S8" s="95" t="inlineStr">
        <is>
          <t>NO</t>
        </is>
      </c>
      <c r="T8" s="95" t="inlineStr">
        <is>
          <t>NO</t>
        </is>
      </c>
      <c r="U8" s="95" t="inlineStr">
        <is>
          <t>NO</t>
        </is>
      </c>
      <c r="V8" s="95" t="n"/>
    </row>
    <row r="9" ht="18" customHeight="1">
      <c r="A9" s="95" t="inlineStr">
        <is>
          <t>Floor 1-14</t>
        </is>
      </c>
      <c r="B9" s="95" t="inlineStr">
        <is>
          <t>Floor 1</t>
        </is>
      </c>
      <c r="C9" s="95" t="inlineStr">
        <is>
          <t>From Survey</t>
        </is>
      </c>
      <c r="D9" s="95" t="inlineStr">
        <is>
          <t>Unknown</t>
        </is>
      </c>
      <c r="E9" s="95" t="inlineStr">
        <is>
          <t>Single Leaf</t>
        </is>
      </c>
      <c r="F9" s="95" t="inlineStr">
        <is>
          <t>Unknown</t>
        </is>
      </c>
      <c r="G9" s="95" t="inlineStr">
        <is>
          <t>Paint</t>
        </is>
      </c>
      <c r="H9" s="95" t="inlineStr">
        <is>
          <t>To Check</t>
        </is>
      </c>
      <c r="I9" s="95" t="inlineStr">
        <is>
          <t>To Check</t>
        </is>
      </c>
      <c r="J9" s="95" t="inlineStr">
        <is>
          <t>To Check</t>
        </is>
      </c>
      <c r="K9" s="95" t="inlineStr">
        <is>
          <t>Not Fitted; None fitted.; Not Fitted</t>
        </is>
      </c>
      <c r="L9" s="95" t="inlineStr">
        <is>
          <t>MEDIUM</t>
        </is>
      </c>
      <c r="M9" s="95" t="n"/>
      <c r="N9" s="95" t="inlineStr">
        <is>
          <t>YES</t>
        </is>
      </c>
      <c r="O9" s="96" t="inlineStr">
        <is>
          <t>PENDING</t>
        </is>
      </c>
      <c r="P9" s="97" t="inlineStr">
        <is>
          <t>B01</t>
        </is>
      </c>
      <c r="Q9" s="95" t="inlineStr">
        <is>
          <t>B01</t>
        </is>
      </c>
      <c r="R9" s="95" t="inlineStr">
        <is>
          <t>NO</t>
        </is>
      </c>
      <c r="S9" s="95" t="inlineStr">
        <is>
          <t>NO</t>
        </is>
      </c>
      <c r="T9" s="95" t="inlineStr">
        <is>
          <t>NO</t>
        </is>
      </c>
      <c r="U9" s="95" t="inlineStr">
        <is>
          <t>NO</t>
        </is>
      </c>
      <c r="V9" s="98" t="n"/>
    </row>
    <row r="10" ht="18" customHeight="1">
      <c r="A10" s="95" t="inlineStr">
        <is>
          <t>Floor 1-18</t>
        </is>
      </c>
      <c r="B10" s="95" t="inlineStr">
        <is>
          <t>Floor 1</t>
        </is>
      </c>
      <c r="C10" s="95" t="inlineStr">
        <is>
          <t>From Survey</t>
        </is>
      </c>
      <c r="D10" s="95" t="inlineStr">
        <is>
          <t>Unknown</t>
        </is>
      </c>
      <c r="E10" s="95" t="inlineStr">
        <is>
          <t>Single Leaf</t>
        </is>
      </c>
      <c r="F10" s="95" t="inlineStr">
        <is>
          <t>Unknown</t>
        </is>
      </c>
      <c r="G10" s="95" t="inlineStr">
        <is>
          <t>Paint</t>
        </is>
      </c>
      <c r="H10" s="95" t="inlineStr">
        <is>
          <t>To Check</t>
        </is>
      </c>
      <c r="I10" s="95" t="inlineStr">
        <is>
          <t>To Check</t>
        </is>
      </c>
      <c r="J10" s="95" t="inlineStr">
        <is>
          <t>To Check</t>
        </is>
      </c>
      <c r="K10" s="95" t="inlineStr">
        <is>
          <t>Not Fitted; Intumescent only.; Not Fitted</t>
        </is>
      </c>
      <c r="L10" s="95" t="inlineStr">
        <is>
          <t>MEDIUM</t>
        </is>
      </c>
      <c r="M10" s="95" t="n"/>
      <c r="N10" s="95" t="inlineStr">
        <is>
          <t>YES</t>
        </is>
      </c>
      <c r="O10" s="96" t="inlineStr">
        <is>
          <t>PENDING</t>
        </is>
      </c>
      <c r="P10" s="97" t="inlineStr">
        <is>
          <t>B01</t>
        </is>
      </c>
      <c r="Q10" s="95" t="inlineStr">
        <is>
          <t>B02, B01</t>
        </is>
      </c>
      <c r="R10" s="95" t="inlineStr">
        <is>
          <t>NO</t>
        </is>
      </c>
      <c r="S10" s="95" t="inlineStr">
        <is>
          <t>NO</t>
        </is>
      </c>
      <c r="T10" s="95" t="inlineStr">
        <is>
          <t>NO</t>
        </is>
      </c>
      <c r="U10" s="95" t="inlineStr">
        <is>
          <t>NO</t>
        </is>
      </c>
      <c r="V10" s="98" t="n"/>
    </row>
    <row r="11" ht="18" customHeight="1">
      <c r="A11" s="99" t="inlineStr">
        <is>
          <t>Floor 1-20</t>
        </is>
      </c>
      <c r="B11" s="99" t="inlineStr">
        <is>
          <t>Floor 1</t>
        </is>
      </c>
      <c r="C11" s="99" t="inlineStr">
        <is>
          <t>From Survey</t>
        </is>
      </c>
      <c r="D11" s="99" t="inlineStr">
        <is>
          <t>Unknown</t>
        </is>
      </c>
      <c r="E11" s="99" t="inlineStr">
        <is>
          <t>Single Leaf</t>
        </is>
      </c>
      <c r="F11" s="99" t="inlineStr">
        <is>
          <t>Unknown</t>
        </is>
      </c>
      <c r="G11" s="99" t="inlineStr">
        <is>
          <t>Paint</t>
        </is>
      </c>
      <c r="H11" s="99" t="inlineStr">
        <is>
          <t>To Check</t>
        </is>
      </c>
      <c r="I11" s="99" t="inlineStr">
        <is>
          <t>To Check</t>
        </is>
      </c>
      <c r="J11" s="99" t="inlineStr">
        <is>
          <t>To Check</t>
        </is>
      </c>
      <c r="K11" s="99" t="inlineStr">
        <is>
          <t>Unable to open door and check.; Not Fitted; Unable to open door and check.; Unable to open door and check.</t>
        </is>
      </c>
      <c r="L11" s="99" t="inlineStr">
        <is>
          <t>MEDIUM</t>
        </is>
      </c>
      <c r="M11" s="99" t="n"/>
      <c r="N11" s="100" t="inlineStr">
        <is>
          <t>YES</t>
        </is>
      </c>
      <c r="O11" s="99" t="inlineStr">
        <is>
          <t>PENDING</t>
        </is>
      </c>
      <c r="P11" s="101" t="inlineStr">
        <is>
          <t>B01</t>
        </is>
      </c>
      <c r="Q11" s="99" t="inlineStr">
        <is>
          <t>B01</t>
        </is>
      </c>
      <c r="R11" s="99" t="inlineStr">
        <is>
          <t>NO</t>
        </is>
      </c>
      <c r="S11" s="99" t="inlineStr">
        <is>
          <t>NO</t>
        </is>
      </c>
      <c r="T11" s="99" t="inlineStr">
        <is>
          <t>NO</t>
        </is>
      </c>
      <c r="U11" s="99" t="inlineStr">
        <is>
          <t>NO</t>
        </is>
      </c>
      <c r="V11" s="99" t="inlineStr">
        <is>
          <t>⚠️ Unable to inspect - needs revisit</t>
        </is>
      </c>
    </row>
    <row r="12">
      <c r="A12" s="102" t="inlineStr">
        <is>
          <t>Floor 1-22</t>
        </is>
      </c>
      <c r="B12" s="102" t="inlineStr">
        <is>
          <t>Floor 1</t>
        </is>
      </c>
      <c r="C12" s="102" t="inlineStr">
        <is>
          <t>From Survey</t>
        </is>
      </c>
      <c r="D12" s="102" t="inlineStr">
        <is>
          <t>Unknown</t>
        </is>
      </c>
      <c r="E12" s="102" t="inlineStr">
        <is>
          <t>Single Leaf</t>
        </is>
      </c>
      <c r="F12" s="102" t="inlineStr">
        <is>
          <t>Unknown</t>
        </is>
      </c>
      <c r="G12" s="102" t="inlineStr">
        <is>
          <t>Paint</t>
        </is>
      </c>
      <c r="H12" s="102" t="inlineStr">
        <is>
          <t>To Check</t>
        </is>
      </c>
      <c r="I12" s="102" t="inlineStr">
        <is>
          <t>To Check</t>
        </is>
      </c>
      <c r="J12" s="102" t="inlineStr">
        <is>
          <t>To Check</t>
        </is>
      </c>
      <c r="K12" s="102" t="inlineStr">
        <is>
          <t>Not Fitted; Damage to smoke seal</t>
        </is>
      </c>
      <c r="L12" s="102" t="inlineStr">
        <is>
          <t>MEDIUM</t>
        </is>
      </c>
      <c r="M12" s="102" t="n"/>
      <c r="N12" s="102" t="inlineStr">
        <is>
          <t>YES</t>
        </is>
      </c>
      <c r="O12" s="102" t="inlineStr">
        <is>
          <t>PENDING</t>
        </is>
      </c>
      <c r="P12" s="102" t="inlineStr">
        <is>
          <t>B01</t>
        </is>
      </c>
      <c r="Q12" s="102" t="inlineStr">
        <is>
          <t>B01</t>
        </is>
      </c>
      <c r="R12" s="102" t="inlineStr">
        <is>
          <t>NO</t>
        </is>
      </c>
      <c r="S12" s="102" t="inlineStr">
        <is>
          <t>NO</t>
        </is>
      </c>
      <c r="T12" s="102" t="inlineStr">
        <is>
          <t>NO</t>
        </is>
      </c>
      <c r="U12" s="102" t="inlineStr">
        <is>
          <t>NO</t>
        </is>
      </c>
      <c r="V12" s="102" t="n"/>
    </row>
    <row r="13">
      <c r="A13" s="102" t="inlineStr">
        <is>
          <t>Floor 2-3</t>
        </is>
      </c>
      <c r="B13" s="102" t="inlineStr">
        <is>
          <t>Floor 2</t>
        </is>
      </c>
      <c r="C13" s="102" t="inlineStr">
        <is>
          <t>From Survey</t>
        </is>
      </c>
      <c r="D13" s="102" t="inlineStr">
        <is>
          <t>Unknown</t>
        </is>
      </c>
      <c r="E13" s="102" t="inlineStr">
        <is>
          <t>Single Leaf</t>
        </is>
      </c>
      <c r="F13" s="102" t="inlineStr">
        <is>
          <t>Unknown</t>
        </is>
      </c>
      <c r="G13" s="102" t="inlineStr">
        <is>
          <t>Paint</t>
        </is>
      </c>
      <c r="H13" s="102" t="inlineStr">
        <is>
          <t>To Check</t>
        </is>
      </c>
      <c r="I13" s="102" t="inlineStr">
        <is>
          <t>To Check</t>
        </is>
      </c>
      <c r="J13" s="102" t="inlineStr">
        <is>
          <t>To Check</t>
        </is>
      </c>
      <c r="K13" s="102" t="inlineStr">
        <is>
          <t>Hinges missing screws; Not Fitted</t>
        </is>
      </c>
      <c r="L13" s="102" t="inlineStr">
        <is>
          <t>MEDIUM</t>
        </is>
      </c>
      <c r="M13" s="102" t="n"/>
      <c r="N13" s="102" t="inlineStr">
        <is>
          <t>YES</t>
        </is>
      </c>
      <c r="O13" s="102" t="inlineStr">
        <is>
          <t>PENDING</t>
        </is>
      </c>
      <c r="P13" s="102" t="inlineStr">
        <is>
          <t>B01</t>
        </is>
      </c>
      <c r="Q13" s="102" t="inlineStr">
        <is>
          <t>B01</t>
        </is>
      </c>
      <c r="R13" s="102" t="inlineStr">
        <is>
          <t>NO</t>
        </is>
      </c>
      <c r="S13" s="102" t="inlineStr">
        <is>
          <t>NO</t>
        </is>
      </c>
      <c r="T13" s="102" t="inlineStr">
        <is>
          <t>NO</t>
        </is>
      </c>
      <c r="U13" s="102" t="inlineStr">
        <is>
          <t>NO</t>
        </is>
      </c>
      <c r="V13" s="102" t="n"/>
    </row>
    <row r="14">
      <c r="A14" s="103" t="inlineStr">
        <is>
          <t>Floor 2-5</t>
        </is>
      </c>
      <c r="B14" s="103" t="inlineStr">
        <is>
          <t>Floor 2</t>
        </is>
      </c>
      <c r="C14" s="103" t="inlineStr">
        <is>
          <t>From Survey</t>
        </is>
      </c>
      <c r="D14" s="103" t="inlineStr">
        <is>
          <t>Unknown</t>
        </is>
      </c>
      <c r="E14" s="103" t="inlineStr">
        <is>
          <t>Single Leaf</t>
        </is>
      </c>
      <c r="F14" s="103" t="inlineStr">
        <is>
          <t>Unknown</t>
        </is>
      </c>
      <c r="G14" s="103" t="inlineStr">
        <is>
          <t>Paint</t>
        </is>
      </c>
      <c r="H14" s="103" t="inlineStr">
        <is>
          <t>To Check</t>
        </is>
      </c>
      <c r="I14" s="103" t="inlineStr">
        <is>
          <t>To Check</t>
        </is>
      </c>
      <c r="J14" s="103" t="inlineStr">
        <is>
          <t>To Check</t>
        </is>
      </c>
      <c r="K14" s="103" t="inlineStr">
        <is>
          <t>Unable to open door fully  and check.; Unable to open  fully door and check.; Unable to open  fully door and check.</t>
        </is>
      </c>
      <c r="L14" s="103" t="inlineStr">
        <is>
          <t>LOW</t>
        </is>
      </c>
      <c r="M14" s="103" t="n"/>
      <c r="N14" s="103" t="inlineStr">
        <is>
          <t>YES</t>
        </is>
      </c>
      <c r="O14" s="103" t="inlineStr">
        <is>
          <t>PENDING</t>
        </is>
      </c>
      <c r="P14" s="103" t="inlineStr">
        <is>
          <t>B01</t>
        </is>
      </c>
      <c r="Q14" s="103" t="inlineStr">
        <is>
          <t>MANUAL REVIEW</t>
        </is>
      </c>
      <c r="R14" s="103" t="inlineStr">
        <is>
          <t>NO</t>
        </is>
      </c>
      <c r="S14" s="103" t="inlineStr">
        <is>
          <t>NO</t>
        </is>
      </c>
      <c r="T14" s="103" t="inlineStr">
        <is>
          <t>NO</t>
        </is>
      </c>
      <c r="U14" s="103" t="inlineStr">
        <is>
          <t>NO</t>
        </is>
      </c>
      <c r="V14" s="103" t="inlineStr">
        <is>
          <t>⚠️ Unable to inspect - needs revisit</t>
        </is>
      </c>
    </row>
    <row r="15">
      <c r="A15" s="103" t="inlineStr">
        <is>
          <t>Floor 3-1</t>
        </is>
      </c>
      <c r="B15" s="103" t="inlineStr">
        <is>
          <t>Floor 3</t>
        </is>
      </c>
      <c r="C15" s="103" t="inlineStr">
        <is>
          <t>From Survey</t>
        </is>
      </c>
      <c r="D15" s="103" t="inlineStr">
        <is>
          <t>Unknown</t>
        </is>
      </c>
      <c r="E15" s="103" t="inlineStr">
        <is>
          <t>Single Leaf</t>
        </is>
      </c>
      <c r="F15" s="103" t="inlineStr">
        <is>
          <t>Unknown</t>
        </is>
      </c>
      <c r="G15" s="103" t="inlineStr">
        <is>
          <t>Paint</t>
        </is>
      </c>
      <c r="H15" s="103" t="inlineStr">
        <is>
          <t>To Check</t>
        </is>
      </c>
      <c r="I15" s="103" t="inlineStr">
        <is>
          <t>To Check</t>
        </is>
      </c>
      <c r="J15" s="103" t="inlineStr">
        <is>
          <t>To Check</t>
        </is>
      </c>
      <c r="K15" s="103" t="inlineStr">
        <is>
          <t>Not Fitted; Intumescent only.; Unable to open door to check</t>
        </is>
      </c>
      <c r="L15" s="103" t="inlineStr">
        <is>
          <t>MEDIUM</t>
        </is>
      </c>
      <c r="M15" s="103" t="n"/>
      <c r="N15" s="103" t="inlineStr">
        <is>
          <t>YES</t>
        </is>
      </c>
      <c r="O15" s="103" t="inlineStr">
        <is>
          <t>PENDING</t>
        </is>
      </c>
      <c r="P15" s="103" t="inlineStr">
        <is>
          <t>B01</t>
        </is>
      </c>
      <c r="Q15" s="103" t="inlineStr">
        <is>
          <t>B02, B01</t>
        </is>
      </c>
      <c r="R15" s="103" t="inlineStr">
        <is>
          <t>NO</t>
        </is>
      </c>
      <c r="S15" s="103" t="inlineStr">
        <is>
          <t>NO</t>
        </is>
      </c>
      <c r="T15" s="103" t="inlineStr">
        <is>
          <t>NO</t>
        </is>
      </c>
      <c r="U15" s="103" t="inlineStr">
        <is>
          <t>NO</t>
        </is>
      </c>
      <c r="V15" s="103" t="inlineStr">
        <is>
          <t>⚠️ Unable to inspect - needs revisit</t>
        </is>
      </c>
    </row>
    <row r="16">
      <c r="A16" s="102" t="inlineStr">
        <is>
          <t>Floor 3-3</t>
        </is>
      </c>
      <c r="B16" s="102" t="inlineStr">
        <is>
          <t>Floor 3</t>
        </is>
      </c>
      <c r="C16" s="102" t="inlineStr">
        <is>
          <t>From Survey</t>
        </is>
      </c>
      <c r="D16" s="102" t="inlineStr">
        <is>
          <t>Unknown</t>
        </is>
      </c>
      <c r="E16" s="102" t="inlineStr">
        <is>
          <t>Single Leaf</t>
        </is>
      </c>
      <c r="F16" s="102" t="inlineStr">
        <is>
          <t>Unknown</t>
        </is>
      </c>
      <c r="G16" s="102" t="inlineStr">
        <is>
          <t>Paint</t>
        </is>
      </c>
      <c r="H16" s="102" t="inlineStr">
        <is>
          <t>To Check</t>
        </is>
      </c>
      <c r="I16" s="102" t="inlineStr">
        <is>
          <t>To Check</t>
        </is>
      </c>
      <c r="J16" s="102" t="inlineStr">
        <is>
          <t>To Check</t>
        </is>
      </c>
      <c r="K16" s="102" t="inlineStr">
        <is>
          <t>Not Fitted; Smoke seal worn on top edge</t>
        </is>
      </c>
      <c r="L16" s="102" t="inlineStr">
        <is>
          <t>MEDIUM</t>
        </is>
      </c>
      <c r="M16" s="102" t="n"/>
      <c r="N16" s="102" t="inlineStr">
        <is>
          <t>YES</t>
        </is>
      </c>
      <c r="O16" s="102" t="inlineStr">
        <is>
          <t>PENDING</t>
        </is>
      </c>
      <c r="P16" s="102" t="inlineStr">
        <is>
          <t>B01</t>
        </is>
      </c>
      <c r="Q16" s="102" t="inlineStr">
        <is>
          <t>B01</t>
        </is>
      </c>
      <c r="R16" s="102" t="inlineStr">
        <is>
          <t>NO</t>
        </is>
      </c>
      <c r="S16" s="102" t="inlineStr">
        <is>
          <t>NO</t>
        </is>
      </c>
      <c r="T16" s="102" t="inlineStr">
        <is>
          <t>NO</t>
        </is>
      </c>
      <c r="U16" s="102" t="inlineStr">
        <is>
          <t>NO</t>
        </is>
      </c>
      <c r="V16" s="102" t="n"/>
    </row>
    <row r="17">
      <c r="A17" s="102" t="inlineStr">
        <is>
          <t>Floor 3-6</t>
        </is>
      </c>
      <c r="B17" s="102" t="inlineStr">
        <is>
          <t>Floor 3</t>
        </is>
      </c>
      <c r="C17" s="102" t="inlineStr">
        <is>
          <t>From Survey</t>
        </is>
      </c>
      <c r="D17" s="102" t="inlineStr">
        <is>
          <t>Unknown</t>
        </is>
      </c>
      <c r="E17" s="102" t="inlineStr">
        <is>
          <t>Single Leaf</t>
        </is>
      </c>
      <c r="F17" s="102" t="inlineStr">
        <is>
          <t>Unknown</t>
        </is>
      </c>
      <c r="G17" s="102" t="inlineStr">
        <is>
          <t>Paint</t>
        </is>
      </c>
      <c r="H17" s="102" t="inlineStr">
        <is>
          <t>To Check</t>
        </is>
      </c>
      <c r="I17" s="102" t="inlineStr">
        <is>
          <t>To Check</t>
        </is>
      </c>
      <c r="J17" s="102" t="inlineStr">
        <is>
          <t>To Check</t>
        </is>
      </c>
      <c r="K17" s="102" t="inlineStr">
        <is>
          <t>Not closing as catching on floor.</t>
        </is>
      </c>
      <c r="L17" s="102" t="inlineStr">
        <is>
          <t>MEDIUM</t>
        </is>
      </c>
      <c r="M17" s="102" t="n"/>
      <c r="N17" s="102" t="inlineStr">
        <is>
          <t>YES</t>
        </is>
      </c>
      <c r="O17" s="102" t="inlineStr">
        <is>
          <t>PENDING</t>
        </is>
      </c>
      <c r="P17" s="102" t="inlineStr">
        <is>
          <t>B10</t>
        </is>
      </c>
      <c r="Q17" s="102" t="inlineStr">
        <is>
          <t>B10</t>
        </is>
      </c>
      <c r="R17" s="102" t="inlineStr">
        <is>
          <t>NO</t>
        </is>
      </c>
      <c r="S17" s="102" t="inlineStr">
        <is>
          <t>NO</t>
        </is>
      </c>
      <c r="T17" s="102" t="inlineStr">
        <is>
          <t>NO</t>
        </is>
      </c>
      <c r="U17" s="102" t="inlineStr">
        <is>
          <t>NO</t>
        </is>
      </c>
      <c r="V17" s="102" t="n"/>
    </row>
    <row r="18">
      <c r="A18" s="103" t="inlineStr">
        <is>
          <t>Floor 3-11</t>
        </is>
      </c>
      <c r="B18" s="103" t="inlineStr">
        <is>
          <t>Floor 3</t>
        </is>
      </c>
      <c r="C18" s="103" t="inlineStr">
        <is>
          <t>From Survey</t>
        </is>
      </c>
      <c r="D18" s="103" t="inlineStr">
        <is>
          <t>Unknown</t>
        </is>
      </c>
      <c r="E18" s="103" t="inlineStr">
        <is>
          <t>Single Leaf</t>
        </is>
      </c>
      <c r="F18" s="103" t="inlineStr">
        <is>
          <t>Unknown</t>
        </is>
      </c>
      <c r="G18" s="103" t="inlineStr">
        <is>
          <t>Paint</t>
        </is>
      </c>
      <c r="H18" s="103" t="inlineStr">
        <is>
          <t>To Check</t>
        </is>
      </c>
      <c r="I18" s="103" t="inlineStr">
        <is>
          <t>To Check</t>
        </is>
      </c>
      <c r="J18" s="103" t="inlineStr">
        <is>
          <t>To Check</t>
        </is>
      </c>
      <c r="K18" s="103" t="inlineStr">
        <is>
          <t>Unable to open door to check.; Not Fitted; Unable to open door to check.; Unable to open door to check</t>
        </is>
      </c>
      <c r="L18" s="103" t="inlineStr">
        <is>
          <t>MEDIUM</t>
        </is>
      </c>
      <c r="M18" s="103" t="n"/>
      <c r="N18" s="103" t="inlineStr">
        <is>
          <t>YES</t>
        </is>
      </c>
      <c r="O18" s="103" t="inlineStr">
        <is>
          <t>PENDING</t>
        </is>
      </c>
      <c r="P18" s="103" t="inlineStr">
        <is>
          <t>B01</t>
        </is>
      </c>
      <c r="Q18" s="103" t="inlineStr">
        <is>
          <t>B01</t>
        </is>
      </c>
      <c r="R18" s="103" t="inlineStr">
        <is>
          <t>NO</t>
        </is>
      </c>
      <c r="S18" s="103" t="inlineStr">
        <is>
          <t>NO</t>
        </is>
      </c>
      <c r="T18" s="103" t="inlineStr">
        <is>
          <t>NO</t>
        </is>
      </c>
      <c r="U18" s="103" t="inlineStr">
        <is>
          <t>NO</t>
        </is>
      </c>
      <c r="V18" s="103" t="inlineStr">
        <is>
          <t>⚠️ Unable to inspect - needs revisit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A43" s="9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Natixis CITYSPACE - RETEST</t>
        </is>
      </c>
    </row>
    <row r="5">
      <c r="A5" s="31" t="inlineStr">
        <is>
          <t>Site:</t>
        </is>
      </c>
      <c r="B5" t="inlineStr"/>
    </row>
    <row r="6">
      <c r="A6" s="31" t="inlineStr">
        <is>
          <t>Building:</t>
        </is>
      </c>
      <c r="B6" t="inlineStr"/>
    </row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>
        <f>COUNTIFS('Door Schedule'!$P:$P,"B01",'Door Schedule'!$N:$N,"YES")</f>
        <v/>
      </c>
      <c r="D11" s="14" t="inlineStr">
        <is>
          <t>no</t>
        </is>
      </c>
      <c r="E11" s="41">
        <f>IFERROR(VLOOKUP("B01",'Rate Card'!$A:$H,8,FALSE()),0)</f>
        <v/>
      </c>
      <c r="F11" s="42">
        <f>IF(C11=0,0,C11*E11)</f>
        <v/>
      </c>
      <c r="G11" s="43">
        <f>IFERROR(VLOOKUP("B01",'Rate Card'!$A:$H,4,FALSE()),0)</f>
        <v/>
      </c>
      <c r="H11" s="44">
        <f>IF(C11=0,0,C11*G11)</f>
        <v/>
      </c>
      <c r="I11" s="43">
        <f>IFERROR(VLOOKUP("B01",'Rate Card'!$A:$H,5,FALSE()),0)</f>
        <v/>
      </c>
      <c r="J11" s="44">
        <f>IF(C11=0,0,C11*I11)</f>
        <v/>
      </c>
      <c r="K11" s="43">
        <f>IFERROR(VLOOKUP("B01",'Rate Card'!$A:$H,6,FALSE()),0)</f>
        <v/>
      </c>
      <c r="L11" s="44">
        <f>IF(C11=0,0,C11*K11)</f>
        <v/>
      </c>
      <c r="M11" s="43">
        <f>IFERROR(VLOOKUP("B01",'Rate Card'!$A:$H,7,FALSE()),0)</f>
        <v/>
      </c>
      <c r="N11" s="44">
        <f>IF(C11=0,0,C11*M11)</f>
        <v/>
      </c>
      <c r="O11" s="44">
        <f>SUM(H11,J11,L11,N11)</f>
        <v/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>
        <f>COUNTIFS('Door Schedule'!$P:$P,"B02",'Door Schedule'!$N:$N,"YES")</f>
        <v/>
      </c>
      <c r="D12" s="20" t="inlineStr">
        <is>
          <t>no</t>
        </is>
      </c>
      <c r="E12" s="48">
        <f>IFERROR(VLOOKUP("B02",'Rate Card'!$A:$H,8,FALSE()),0)</f>
        <v/>
      </c>
      <c r="F12" s="49">
        <f>IF(C12=0,0,C12*E12)</f>
        <v/>
      </c>
      <c r="G12" s="50">
        <f>IFERROR(VLOOKUP("B02",'Rate Card'!$A:$H,4,FALSE()),0)</f>
        <v/>
      </c>
      <c r="H12" s="51">
        <f>IF(C12=0,0,C12*G12)</f>
        <v/>
      </c>
      <c r="I12" s="50">
        <f>IFERROR(VLOOKUP("B02",'Rate Card'!$A:$H,5,FALSE()),0)</f>
        <v/>
      </c>
      <c r="J12" s="51">
        <f>IF(C12=0,0,C12*I12)</f>
        <v/>
      </c>
      <c r="K12" s="50">
        <f>IFERROR(VLOOKUP("B02",'Rate Card'!$A:$H,6,FALSE()),0)</f>
        <v/>
      </c>
      <c r="L12" s="51">
        <f>IF(C12=0,0,C12*K12)</f>
        <v/>
      </c>
      <c r="M12" s="50">
        <f>IFERROR(VLOOKUP("B02",'Rate Card'!$A:$H,7,FALSE()),0)</f>
        <v/>
      </c>
      <c r="N12" s="51">
        <f>IF(C12=0,0,C12*M12)</f>
        <v/>
      </c>
      <c r="O12" s="51">
        <f>SUM(H12,J12,L12,N12)</f>
        <v/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>
        <f>COUNTIFS('Door Schedule'!$P:$P,"B03",'Door Schedule'!$N:$N,"YES")</f>
        <v/>
      </c>
      <c r="D13" s="14" t="inlineStr">
        <is>
          <t>no</t>
        </is>
      </c>
      <c r="E13" s="41">
        <f>IFERROR(VLOOKUP("B03",'Rate Card'!$A:$H,8,FALSE()),0)</f>
        <v/>
      </c>
      <c r="F13" s="42">
        <f>IF(C13=0,0,C13*E13)</f>
        <v/>
      </c>
      <c r="G13" s="43">
        <f>IFERROR(VLOOKUP("B03",'Rate Card'!$A:$H,4,FALSE()),0)</f>
        <v/>
      </c>
      <c r="H13" s="44">
        <f>IF(C13=0,0,C13*G13)</f>
        <v/>
      </c>
      <c r="I13" s="43">
        <f>IFERROR(VLOOKUP("B03",'Rate Card'!$A:$H,5,FALSE()),0)</f>
        <v/>
      </c>
      <c r="J13" s="44">
        <f>IF(C13=0,0,C13*I13)</f>
        <v/>
      </c>
      <c r="K13" s="43">
        <f>IFERROR(VLOOKUP("B03",'Rate Card'!$A:$H,6,FALSE()),0)</f>
        <v/>
      </c>
      <c r="L13" s="44">
        <f>IF(C13=0,0,C13*K13)</f>
        <v/>
      </c>
      <c r="M13" s="43">
        <f>IFERROR(VLOOKUP("B03",'Rate Card'!$A:$H,7,FALSE()),0)</f>
        <v/>
      </c>
      <c r="N13" s="44">
        <f>IF(C13=0,0,C13*M13)</f>
        <v/>
      </c>
      <c r="O13" s="44">
        <f>SUM(H13,J13,L13,N13)</f>
        <v/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>
        <f>COUNTIFS('Door Schedule'!$P:$P,"B04",'Door Schedule'!$N:$N,"YES")</f>
        <v/>
      </c>
      <c r="D14" s="20" t="inlineStr">
        <is>
          <t>no</t>
        </is>
      </c>
      <c r="E14" s="48">
        <f>IFERROR(VLOOKUP("B04",'Rate Card'!$A:$H,8,FALSE()),0)</f>
        <v/>
      </c>
      <c r="F14" s="49">
        <f>IF(C14=0,0,C14*E14)</f>
        <v/>
      </c>
      <c r="G14" s="50">
        <f>IFERROR(VLOOKUP("B04",'Rate Card'!$A:$H,4,FALSE()),0)</f>
        <v/>
      </c>
      <c r="H14" s="51">
        <f>IF(C14=0,0,C14*G14)</f>
        <v/>
      </c>
      <c r="I14" s="50">
        <f>IFERROR(VLOOKUP("B04",'Rate Card'!$A:$H,5,FALSE()),0)</f>
        <v/>
      </c>
      <c r="J14" s="51">
        <f>IF(C14=0,0,C14*I14)</f>
        <v/>
      </c>
      <c r="K14" s="50">
        <f>IFERROR(VLOOKUP("B04",'Rate Card'!$A:$H,6,FALSE()),0)</f>
        <v/>
      </c>
      <c r="L14" s="51">
        <f>IF(C14=0,0,C14*K14)</f>
        <v/>
      </c>
      <c r="M14" s="50">
        <f>IFERROR(VLOOKUP("B04",'Rate Card'!$A:$H,7,FALSE()),0)</f>
        <v/>
      </c>
      <c r="N14" s="51">
        <f>IF(C14=0,0,C14*M14)</f>
        <v/>
      </c>
      <c r="O14" s="51">
        <f>SUM(H14,J14,L14,N14)</f>
        <v/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>
        <f>COUNTIFS('Door Schedule'!$P:$P,"B05",'Door Schedule'!$N:$N,"YES")</f>
        <v/>
      </c>
      <c r="D15" s="14" t="inlineStr">
        <is>
          <t>no</t>
        </is>
      </c>
      <c r="E15" s="41">
        <f>IFERROR(VLOOKUP("B05",'Rate Card'!$A:$H,8,FALSE()),0)</f>
        <v/>
      </c>
      <c r="F15" s="42">
        <f>IF(C15=0,0,C15*E15)</f>
        <v/>
      </c>
      <c r="G15" s="43">
        <f>IFERROR(VLOOKUP("B05",'Rate Card'!$A:$H,4,FALSE()),0)</f>
        <v/>
      </c>
      <c r="H15" s="44">
        <f>IF(C15=0,0,C15*G15)</f>
        <v/>
      </c>
      <c r="I15" s="43">
        <f>IFERROR(VLOOKUP("B05",'Rate Card'!$A:$H,5,FALSE()),0)</f>
        <v/>
      </c>
      <c r="J15" s="44">
        <f>IF(C15=0,0,C15*I15)</f>
        <v/>
      </c>
      <c r="K15" s="43">
        <f>IFERROR(VLOOKUP("B05",'Rate Card'!$A:$H,6,FALSE()),0)</f>
        <v/>
      </c>
      <c r="L15" s="44">
        <f>IF(C15=0,0,C15*K15)</f>
        <v/>
      </c>
      <c r="M15" s="43">
        <f>IFERROR(VLOOKUP("B05",'Rate Card'!$A:$H,7,FALSE()),0)</f>
        <v/>
      </c>
      <c r="N15" s="44">
        <f>IF(C15=0,0,C15*M15)</f>
        <v/>
      </c>
      <c r="O15" s="44">
        <f>SUM(H15,J15,L15,N15)</f>
        <v/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>
        <f>COUNTIFS('Door Schedule'!$P:$P,"B06",'Door Schedule'!$N:$N,"YES")</f>
        <v/>
      </c>
      <c r="D16" s="20" t="inlineStr">
        <is>
          <t>no</t>
        </is>
      </c>
      <c r="E16" s="48">
        <f>IFERROR(VLOOKUP("B06",'Rate Card'!$A:$H,8,FALSE()),0)</f>
        <v/>
      </c>
      <c r="F16" s="49">
        <f>IF(C16=0,0,C16*E16)</f>
        <v/>
      </c>
      <c r="G16" s="50">
        <f>IFERROR(VLOOKUP("B06",'Rate Card'!$A:$H,4,FALSE()),0)</f>
        <v/>
      </c>
      <c r="H16" s="51">
        <f>IF(C16=0,0,C16*G16)</f>
        <v/>
      </c>
      <c r="I16" s="50">
        <f>IFERROR(VLOOKUP("B06",'Rate Card'!$A:$H,5,FALSE()),0)</f>
        <v/>
      </c>
      <c r="J16" s="51">
        <f>IF(C16=0,0,C16*I16)</f>
        <v/>
      </c>
      <c r="K16" s="50">
        <f>IFERROR(VLOOKUP("B06",'Rate Card'!$A:$H,6,FALSE()),0)</f>
        <v/>
      </c>
      <c r="L16" s="51">
        <f>IF(C16=0,0,C16*K16)</f>
        <v/>
      </c>
      <c r="M16" s="50">
        <f>IFERROR(VLOOKUP("B06",'Rate Card'!$A:$H,7,FALSE()),0)</f>
        <v/>
      </c>
      <c r="N16" s="51">
        <f>IF(C16=0,0,C16*M16)</f>
        <v/>
      </c>
      <c r="O16" s="51">
        <f>SUM(H16,J16,L16,N16)</f>
        <v/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>
        <f>COUNTIFS('Door Schedule'!$P:$P,"B07",'Door Schedule'!$N:$N,"YES")</f>
        <v/>
      </c>
      <c r="D17" s="14" t="inlineStr">
        <is>
          <t>no</t>
        </is>
      </c>
      <c r="E17" s="41">
        <f>IFERROR(VLOOKUP("B07",'Rate Card'!$A:$H,8,FALSE()),0)</f>
        <v/>
      </c>
      <c r="F17" s="42">
        <f>IF(C17=0,0,C17*E17)</f>
        <v/>
      </c>
      <c r="G17" s="43">
        <f>IFERROR(VLOOKUP("B07",'Rate Card'!$A:$H,4,FALSE()),0)</f>
        <v/>
      </c>
      <c r="H17" s="44">
        <f>IF(C17=0,0,C17*G17)</f>
        <v/>
      </c>
      <c r="I17" s="43">
        <f>IFERROR(VLOOKUP("B07",'Rate Card'!$A:$H,5,FALSE()),0)</f>
        <v/>
      </c>
      <c r="J17" s="44">
        <f>IF(C17=0,0,C17*I17)</f>
        <v/>
      </c>
      <c r="K17" s="43">
        <f>IFERROR(VLOOKUP("B07",'Rate Card'!$A:$H,6,FALSE()),0)</f>
        <v/>
      </c>
      <c r="L17" s="44">
        <f>IF(C17=0,0,C17*K17)</f>
        <v/>
      </c>
      <c r="M17" s="43">
        <f>IFERROR(VLOOKUP("B07",'Rate Card'!$A:$H,7,FALSE()),0)</f>
        <v/>
      </c>
      <c r="N17" s="44">
        <f>IF(C17=0,0,C17*M17)</f>
        <v/>
      </c>
      <c r="O17" s="44">
        <f>SUM(H17,J17,L17,N17)</f>
        <v/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>
        <f>COUNTIFS('Door Schedule'!$P:$P,"B08",'Door Schedule'!$N:$N,"YES")</f>
        <v/>
      </c>
      <c r="D18" s="20" t="inlineStr">
        <is>
          <t>no</t>
        </is>
      </c>
      <c r="E18" s="48">
        <f>IFERROR(VLOOKUP("B08",'Rate Card'!$A:$H,8,FALSE()),0)</f>
        <v/>
      </c>
      <c r="F18" s="49">
        <f>IF(C18=0,0,C18*E18)</f>
        <v/>
      </c>
      <c r="G18" s="50">
        <f>IFERROR(VLOOKUP("B08",'Rate Card'!$A:$H,4,FALSE()),0)</f>
        <v/>
      </c>
      <c r="H18" s="51">
        <f>IF(C18=0,0,C18*G18)</f>
        <v/>
      </c>
      <c r="I18" s="50">
        <f>IFERROR(VLOOKUP("B08",'Rate Card'!$A:$H,5,FALSE()),0)</f>
        <v/>
      </c>
      <c r="J18" s="51">
        <f>IF(C18=0,0,C18*I18)</f>
        <v/>
      </c>
      <c r="K18" s="50">
        <f>IFERROR(VLOOKUP("B08",'Rate Card'!$A:$H,6,FALSE()),0)</f>
        <v/>
      </c>
      <c r="L18" s="51">
        <f>IF(C18=0,0,C18*K18)</f>
        <v/>
      </c>
      <c r="M18" s="50">
        <f>IFERROR(VLOOKUP("B08",'Rate Card'!$A:$H,7,FALSE()),0)</f>
        <v/>
      </c>
      <c r="N18" s="51">
        <f>IF(C18=0,0,C18*M18)</f>
        <v/>
      </c>
      <c r="O18" s="51">
        <f>SUM(H18,J18,L18,N18)</f>
        <v/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>
        <f>COUNTIFS('Door Schedule'!$P:$P,"B09",'Door Schedule'!$N:$N,"YES")</f>
        <v/>
      </c>
      <c r="D19" s="14" t="inlineStr">
        <is>
          <t>no</t>
        </is>
      </c>
      <c r="E19" s="41">
        <f>IFERROR(VLOOKUP("B09",'Rate Card'!$A:$H,8,FALSE()),0)</f>
        <v/>
      </c>
      <c r="F19" s="42">
        <f>IF(C19=0,0,C19*E19)</f>
        <v/>
      </c>
      <c r="G19" s="43">
        <f>IFERROR(VLOOKUP("B09",'Rate Card'!$A:$H,4,FALSE()),0)</f>
        <v/>
      </c>
      <c r="H19" s="44">
        <f>IF(C19=0,0,C19*G19)</f>
        <v/>
      </c>
      <c r="I19" s="43">
        <f>IFERROR(VLOOKUP("B09",'Rate Card'!$A:$H,5,FALSE()),0)</f>
        <v/>
      </c>
      <c r="J19" s="44">
        <f>IF(C19=0,0,C19*I19)</f>
        <v/>
      </c>
      <c r="K19" s="43">
        <f>IFERROR(VLOOKUP("B09",'Rate Card'!$A:$H,6,FALSE()),0)</f>
        <v/>
      </c>
      <c r="L19" s="44">
        <f>IF(C19=0,0,C19*K19)</f>
        <v/>
      </c>
      <c r="M19" s="43">
        <f>IFERROR(VLOOKUP("B09",'Rate Card'!$A:$H,7,FALSE()),0)</f>
        <v/>
      </c>
      <c r="N19" s="44">
        <f>IF(C19=0,0,C19*M19)</f>
        <v/>
      </c>
      <c r="O19" s="44">
        <f>SUM(H19,J19,L19,N19)</f>
        <v/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>
        <f>COUNTIFS('Door Schedule'!$P:$P,"B10",'Door Schedule'!$N:$N,"YES")</f>
        <v/>
      </c>
      <c r="D20" s="20" t="inlineStr">
        <is>
          <t>no</t>
        </is>
      </c>
      <c r="E20" s="48">
        <f>IFERROR(VLOOKUP("B10",'Rate Card'!$A:$H,8,FALSE()),0)</f>
        <v/>
      </c>
      <c r="F20" s="49">
        <f>IF(C20=0,0,C20*E20)</f>
        <v/>
      </c>
      <c r="G20" s="50">
        <f>IFERROR(VLOOKUP("B10",'Rate Card'!$A:$H,4,FALSE()),0)</f>
        <v/>
      </c>
      <c r="H20" s="51">
        <f>IF(C20=0,0,C20*G20)</f>
        <v/>
      </c>
      <c r="I20" s="50">
        <f>IFERROR(VLOOKUP("B10",'Rate Card'!$A:$H,5,FALSE()),0)</f>
        <v/>
      </c>
      <c r="J20" s="51">
        <f>IF(C20=0,0,C20*I20)</f>
        <v/>
      </c>
      <c r="K20" s="50">
        <f>IFERROR(VLOOKUP("B10",'Rate Card'!$A:$H,6,FALSE()),0)</f>
        <v/>
      </c>
      <c r="L20" s="51">
        <f>IF(C20=0,0,C20*K20)</f>
        <v/>
      </c>
      <c r="M20" s="50">
        <f>IFERROR(VLOOKUP("B10",'Rate Card'!$A:$H,7,FALSE()),0)</f>
        <v/>
      </c>
      <c r="N20" s="51">
        <f>IF(C20=0,0,C20*M20)</f>
        <v/>
      </c>
      <c r="O20" s="51">
        <f>SUM(H20,J20,L20,N20)</f>
        <v/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>
        <f>COUNTIFS('Door Schedule'!$P:$P,"B11",'Door Schedule'!$N:$N,"YES")</f>
        <v/>
      </c>
      <c r="D21" s="14" t="inlineStr">
        <is>
          <t>no</t>
        </is>
      </c>
      <c r="E21" s="41">
        <f>IFERROR(VLOOKUP("B11",'Rate Card'!$A:$H,8,FALSE()),0)</f>
        <v/>
      </c>
      <c r="F21" s="42">
        <f>IF(C21=0,0,C21*E21)</f>
        <v/>
      </c>
      <c r="G21" s="43">
        <f>IFERROR(VLOOKUP("B11",'Rate Card'!$A:$H,4,FALSE()),0)</f>
        <v/>
      </c>
      <c r="H21" s="44">
        <f>IF(C21=0,0,C21*G21)</f>
        <v/>
      </c>
      <c r="I21" s="43">
        <f>IFERROR(VLOOKUP("B11",'Rate Card'!$A:$H,5,FALSE()),0)</f>
        <v/>
      </c>
      <c r="J21" s="44">
        <f>IF(C21=0,0,C21*I21)</f>
        <v/>
      </c>
      <c r="K21" s="43">
        <f>IFERROR(VLOOKUP("B11",'Rate Card'!$A:$H,6,FALSE()),0)</f>
        <v/>
      </c>
      <c r="L21" s="44">
        <f>IF(C21=0,0,C21*K21)</f>
        <v/>
      </c>
      <c r="M21" s="43">
        <f>IFERROR(VLOOKUP("B11",'Rate Card'!$A:$H,7,FALSE()),0)</f>
        <v/>
      </c>
      <c r="N21" s="44">
        <f>IF(C21=0,0,C21*M21)</f>
        <v/>
      </c>
      <c r="O21" s="44">
        <f>SUM(H21,J21,L21,N21)</f>
        <v/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>
        <f>COUNTIFS('Door Schedule'!$P:$P,"B12",'Door Schedule'!$N:$N,"YES")</f>
        <v/>
      </c>
      <c r="D22" s="20" t="inlineStr">
        <is>
          <t>no</t>
        </is>
      </c>
      <c r="E22" s="48">
        <f>IFERROR(VLOOKUP("B12",'Rate Card'!$A:$H,8,FALSE()),0)</f>
        <v/>
      </c>
      <c r="F22" s="49">
        <f>IF(C22=0,0,C22*E22)</f>
        <v/>
      </c>
      <c r="G22" s="50">
        <f>IFERROR(VLOOKUP("B12",'Rate Card'!$A:$H,4,FALSE()),0)</f>
        <v/>
      </c>
      <c r="H22" s="51">
        <f>IF(C22=0,0,C22*G22)</f>
        <v/>
      </c>
      <c r="I22" s="50">
        <f>IFERROR(VLOOKUP("B12",'Rate Card'!$A:$H,5,FALSE()),0)</f>
        <v/>
      </c>
      <c r="J22" s="51">
        <f>IF(C22=0,0,C22*I22)</f>
        <v/>
      </c>
      <c r="K22" s="50">
        <f>IFERROR(VLOOKUP("B12",'Rate Card'!$A:$H,6,FALSE()),0)</f>
        <v/>
      </c>
      <c r="L22" s="51">
        <f>IF(C22=0,0,C22*K22)</f>
        <v/>
      </c>
      <c r="M22" s="50">
        <f>IFERROR(VLOOKUP("B12",'Rate Card'!$A:$H,7,FALSE()),0)</f>
        <v/>
      </c>
      <c r="N22" s="51">
        <f>IF(C22=0,0,C22*M22)</f>
        <v/>
      </c>
      <c r="O22" s="51">
        <f>SUM(H22,J22,L22,N22)</f>
        <v/>
      </c>
      <c r="P22" s="51">
        <f>F22-O22</f>
        <v/>
      </c>
      <c r="Q22" s="52">
        <f>IF(F22=0,0,P22/F22)</f>
        <v/>
      </c>
      <c r="R22" s="52">
        <f>IF(O22=0,0,P22/O22)</f>
        <v/>
      </c>
    </row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>
        <f>COUNTIFS('Door Schedule'!$P:$P,"A13",'Door Schedule'!$O:$O,"YES")</f>
        <v/>
      </c>
      <c r="D38" s="14" t="inlineStr">
        <is>
          <t>no</t>
        </is>
      </c>
      <c r="E38" s="41">
        <f>IFERROR(VLOOKUP("A13",'Rate Card'!$A:$H,8,FALSE()),0)</f>
        <v/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>
        <f>COUNTIFS('Door Schedule'!$P:$P,"A14",'Door Schedule'!$O:$O,"YES")</f>
        <v/>
      </c>
      <c r="D39" s="20" t="inlineStr">
        <is>
          <t>no</t>
        </is>
      </c>
      <c r="E39" s="48">
        <f>IFERROR(VLOOKUP("A14",'Rate Card'!$A:$H,8,FALSE()),0)</f>
        <v/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>
        <f>COUNTIFS('Door Schedule'!$P:$P,"A15",'Door Schedule'!$O:$O,"YES")</f>
        <v/>
      </c>
      <c r="D40" s="14" t="inlineStr">
        <is>
          <t>no</t>
        </is>
      </c>
      <c r="E40" s="41">
        <f>IFERROR(VLOOKUP("A15",'Rate Card'!$A:$H,8,FALSE()),0)</f>
        <v/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>
        <f>SUM(O11,O12,O13,O14,O15,O16,O17,O18,O19,O20,O21,O22,O43,O44,O45,O46,O47)</f>
        <v/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2026-03-19T04:59:29Z</dcterms:created>
  <dcterms:modified xsi:type="dcterms:W3CDTF">2026-03-24T11:45:29Z</dcterms:modified>
  <cp:lastModifiedBy>Westley Harnett</cp:lastModifiedBy>
  <cp:revision>0</cp:revision>
</cp:coreProperties>
</file>