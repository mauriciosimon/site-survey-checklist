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4220" windowHeight="15620" tabRatio="500" firstSheet="0" activeTab="0" autoFilterDateGrouping="1"/>
  </bookViews>
  <sheets>
    <sheet xmlns:r="http://schemas.openxmlformats.org/officeDocument/2006/relationships" name="Rate Card" sheetId="1" state="visible" r:id="rId1"/>
    <sheet xmlns:r="http://schemas.openxmlformats.org/officeDocument/2006/relationships" name="Door Schedule" sheetId="2" state="visible" r:id="rId2"/>
    <sheet xmlns:r="http://schemas.openxmlformats.org/officeDocument/2006/relationships" name="Quote Sheet" sheetId="3" state="visible" r:id="rId3"/>
    <sheet xmlns:r="http://schemas.openxmlformats.org/officeDocument/2006/relationships" name="Material Call-Off" sheetId="4" state="visible" r:id="rId4"/>
    <sheet xmlns:r="http://schemas.openxmlformats.org/officeDocument/2006/relationships" name="Client Summary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£#,##0.00;[Red]&quot;-£&quot;#,##0.00"/>
    <numFmt numFmtId="165" formatCode="0.0%"/>
  </numFmts>
  <fonts count="38">
    <font>
      <name val="Calibri"/>
      <charset val="1"/>
      <family val="2"/>
      <color theme="1"/>
      <sz val="11"/>
    </font>
    <font>
      <name val="Arial"/>
      <charset val="1"/>
      <b val="1"/>
      <color rgb="FF1F3864"/>
      <sz val="13"/>
    </font>
    <font>
      <name val="Arial"/>
      <charset val="1"/>
      <i val="1"/>
      <color rgb="FF555555"/>
      <sz val="9"/>
    </font>
    <font>
      <name val="Arial"/>
      <charset val="1"/>
      <i val="1"/>
      <color rgb="FF1D6A38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1F3864"/>
      <sz val="10"/>
    </font>
    <font>
      <name val="Arial"/>
      <charset val="1"/>
      <b val="1"/>
      <color rgb="FF2E75B6"/>
      <sz val="9"/>
    </font>
    <font>
      <name val="Arial"/>
      <charset val="1"/>
      <color rgb="FF333333"/>
      <sz val="9"/>
    </font>
    <font>
      <name val="Arial"/>
      <charset val="1"/>
      <color rgb="FF555555"/>
      <sz val="9"/>
    </font>
    <font>
      <name val="Arial"/>
      <charset val="1"/>
      <color rgb="FF0000FF"/>
      <sz val="9"/>
    </font>
    <font>
      <name val="Arial"/>
      <charset val="1"/>
      <b val="1"/>
      <color rgb="FF1F3864"/>
      <sz val="9"/>
    </font>
    <font>
      <name val="Arial"/>
      <charset val="1"/>
      <i val="1"/>
      <color rgb="FF666666"/>
      <sz val="8"/>
    </font>
    <font>
      <name val="Arial"/>
      <charset val="1"/>
      <b val="1"/>
      <color rgb="FF1D6A38"/>
      <sz val="9"/>
    </font>
    <font>
      <name val="Arial"/>
      <charset val="1"/>
      <b val="1"/>
      <color rgb="FFFFFFFF"/>
      <sz val="9"/>
    </font>
    <font>
      <name val="Arial"/>
      <charset val="1"/>
      <b val="1"/>
      <color rgb="FF7F3F00"/>
      <sz val="9"/>
    </font>
    <font>
      <name val="Arial"/>
      <charset val="1"/>
      <b val="1"/>
      <color rgb="FFB71C1C"/>
      <sz val="9"/>
    </font>
    <font>
      <name val="Arial"/>
      <charset val="1"/>
      <color rgb="FF333333"/>
      <sz val="10"/>
    </font>
    <font>
      <name val="Arial"/>
      <charset val="1"/>
      <b val="1"/>
      <color rgb="FF333333"/>
      <sz val="9"/>
    </font>
    <font>
      <name val="Arial"/>
      <charset val="1"/>
      <b val="1"/>
      <color rgb="FF0000FF"/>
      <sz val="10"/>
    </font>
    <font>
      <name val="Arial"/>
      <charset val="1"/>
      <b val="1"/>
      <color rgb="FF7F3F00"/>
      <sz val="10"/>
    </font>
    <font>
      <name val="Arial"/>
      <charset val="1"/>
      <i val="1"/>
      <color rgb="FF666666"/>
      <sz val="9"/>
    </font>
    <font>
      <name val="Arial"/>
      <charset val="1"/>
      <color rgb="FF2E75B6"/>
      <sz val="9"/>
    </font>
    <font>
      <name val="Arial"/>
      <charset val="1"/>
      <color rgb="FF000000"/>
      <sz val="9"/>
    </font>
    <font>
      <name val="Arial"/>
      <charset val="1"/>
      <color rgb="FF888888"/>
      <sz val="9"/>
    </font>
    <font>
      <name val="Arial"/>
      <charset val="1"/>
      <b val="1"/>
      <color rgb="FF1D6A38"/>
      <sz val="10"/>
    </font>
    <font>
      <name val="Arial"/>
      <charset val="1"/>
      <b val="1"/>
      <color rgb="FFB71C1C"/>
      <sz val="10"/>
    </font>
    <font>
      <name val="Arial"/>
      <charset val="1"/>
      <color rgb="FFB71C1C"/>
      <sz val="9"/>
    </font>
    <font>
      <name val="Arial"/>
      <charset val="1"/>
      <color rgb="FF1D6A38"/>
      <sz val="9"/>
    </font>
    <font>
      <name val="Arial"/>
      <charset val="1"/>
      <b val="1"/>
      <color rgb="FFFFFFFF"/>
      <sz val="13"/>
    </font>
    <font>
      <name val="Arial"/>
      <charset val="1"/>
      <b val="1"/>
      <color rgb="FF333333"/>
      <sz val="10"/>
    </font>
    <font>
      <name val="Arial"/>
      <charset val="1"/>
      <i val="1"/>
      <color rgb="FF888888"/>
      <sz val="10"/>
    </font>
    <font>
      <name val="Arial"/>
      <charset val="1"/>
      <b val="1"/>
      <color rgb="FF333333"/>
      <sz val="12"/>
    </font>
    <font>
      <name val="Arial"/>
      <charset val="1"/>
      <b val="1"/>
      <color rgb="FF7F3F00"/>
      <sz val="12"/>
    </font>
    <font>
      <name val="Arial"/>
      <charset val="1"/>
      <b val="1"/>
      <color rgb="FF1D6A38"/>
      <sz val="12"/>
    </font>
    <font>
      <color rgb="000000FF"/>
    </font>
    <font>
      <b val="1"/>
    </font>
    <font>
      <i val="1"/>
    </font>
    <font>
      <b val="1"/>
      <i val="1"/>
    </font>
  </fonts>
  <fills count="22">
    <fill>
      <patternFill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E8F5EE"/>
        <bgColor rgb="FFE8F0FB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5F5F5"/>
      </patternFill>
    </fill>
    <fill>
      <patternFill patternType="solid">
        <fgColor rgb="FFE8F0FB"/>
        <bgColor rgb="FFE8F5EE"/>
      </patternFill>
    </fill>
    <fill>
      <patternFill patternType="solid">
        <fgColor rgb="FFF5F5F5"/>
        <bgColor rgb="FFE8F5EE"/>
      </patternFill>
    </fill>
    <fill>
      <patternFill patternType="solid">
        <fgColor rgb="FFFFC000"/>
        <bgColor rgb="FFFF9900"/>
      </patternFill>
    </fill>
    <fill>
      <patternFill patternType="solid">
        <fgColor rgb="FFFDECEA"/>
        <bgColor rgb="FFFFF3E0"/>
      </patternFill>
    </fill>
    <fill>
      <patternFill patternType="solid">
        <fgColor rgb="FFFF0000"/>
        <bgColor rgb="FFB71C1C"/>
      </patternFill>
    </fill>
    <fill>
      <patternFill patternType="solid">
        <fgColor rgb="FFFFF3E0"/>
        <bgColor rgb="FFFFF3CD"/>
      </patternFill>
    </fill>
    <fill>
      <patternFill patternType="solid">
        <fgColor rgb="FFD9D9D9"/>
        <bgColor rgb="FFD6E4F0"/>
      </patternFill>
    </fill>
    <fill>
      <patternFill patternType="solid">
        <fgColor rgb="FFE97E2C"/>
        <bgColor rgb="FFFF9900"/>
      </patternFill>
    </fill>
    <fill>
      <patternFill patternType="solid">
        <fgColor rgb="FF1D6A38"/>
        <bgColor rgb="FF008080"/>
      </patternFill>
    </fill>
    <fill>
      <patternFill patternType="solid">
        <fgColor rgb="FFFFE0E0"/>
        <bgColor rgb="FFFDECEA"/>
      </patternFill>
    </fill>
    <fill>
      <patternFill patternType="solid">
        <fgColor rgb="FFFFF3CD"/>
        <bgColor rgb="FFFFF3E0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D700"/>
      </patternFill>
    </fill>
  </fills>
  <borders count="5">
    <border>
      <left/>
      <right/>
      <top/>
      <bottom/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7" fillId="17" borderId="1" applyAlignment="1" pivotButton="0" quotePrefix="0" xfId="0">
      <alignment horizontal="left" vertical="top" wrapText="1"/>
    </xf>
    <xf numFmtId="0" fontId="28" fillId="4" borderId="1" applyAlignment="1" pivotButton="0" quotePrefix="0" xfId="0">
      <alignment horizontal="left" vertical="center"/>
    </xf>
    <xf numFmtId="0" fontId="25" fillId="1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/>
    </xf>
    <xf numFmtId="0" fontId="0" fillId="5" borderId="2" pivotButton="0" quotePrefix="0" xfId="0"/>
    <xf numFmtId="0" fontId="5" fillId="5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center" vertical="center"/>
    </xf>
    <xf numFmtId="164" fontId="10" fillId="7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center" vertical="center"/>
    </xf>
    <xf numFmtId="0" fontId="12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0" borderId="0" pivotButton="0" quotePrefix="0" xfId="0"/>
    <xf numFmtId="165" fontId="18" fillId="5" borderId="2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left" vertical="center"/>
    </xf>
    <xf numFmtId="0" fontId="0" fillId="12" borderId="2" pivotButton="0" quotePrefix="0" xfId="0"/>
    <xf numFmtId="0" fontId="20" fillId="0" borderId="0" pivotButton="0" quotePrefix="0" xfId="0"/>
    <xf numFmtId="0" fontId="21" fillId="6" borderId="2" applyAlignment="1" pivotButton="0" quotePrefix="0" xfId="0">
      <alignment horizontal="center" vertical="center"/>
    </xf>
    <xf numFmtId="3" fontId="22" fillId="6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center" vertical="center"/>
    </xf>
    <xf numFmtId="164" fontId="22" fillId="6" borderId="2" applyAlignment="1" pivotButton="0" quotePrefix="0" xfId="0">
      <alignment horizontal="center" vertical="center"/>
    </xf>
    <xf numFmtId="164" fontId="23" fillId="6" borderId="2" pivotButton="0" quotePrefix="0" xfId="0"/>
    <xf numFmtId="164" fontId="7" fillId="6" borderId="2" applyAlignment="1" pivotButton="0" quotePrefix="0" xfId="0">
      <alignment horizontal="center" vertical="center"/>
    </xf>
    <xf numFmtId="165" fontId="7" fillId="6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3" fontId="22" fillId="8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164" fontId="22" fillId="8" borderId="2" applyAlignment="1" pivotButton="0" quotePrefix="0" xfId="0">
      <alignment horizontal="center" vertical="center"/>
    </xf>
    <xf numFmtId="164" fontId="23" fillId="8" borderId="2" pivotButton="0" quotePrefix="0" xfId="0"/>
    <xf numFmtId="164" fontId="7" fillId="8" borderId="2" applyAlignment="1" pivotButton="0" quotePrefix="0" xfId="0">
      <alignment horizontal="center" vertical="center"/>
    </xf>
    <xf numFmtId="165" fontId="7" fillId="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left" vertical="center"/>
    </xf>
    <xf numFmtId="0" fontId="0" fillId="3" borderId="2" pivotButton="0" quotePrefix="0" xfId="0"/>
    <xf numFmtId="0" fontId="5" fillId="5" borderId="2" applyAlignment="1" pivotButton="0" quotePrefix="0" xfId="0">
      <alignment horizontal="center" vertical="center"/>
    </xf>
    <xf numFmtId="3" fontId="22" fillId="5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left" vertical="center"/>
    </xf>
    <xf numFmtId="164" fontId="5" fillId="13" borderId="2" applyAlignment="1" pivotButton="0" quotePrefix="0" xfId="0">
      <alignment horizontal="center" vertical="center"/>
    </xf>
    <xf numFmtId="165" fontId="5" fillId="13" borderId="2" applyAlignment="1" pivotButton="0" quotePrefix="0" xfId="0">
      <alignment horizontal="center" vertical="center"/>
    </xf>
    <xf numFmtId="164" fontId="24" fillId="3" borderId="2" applyAlignment="1" pivotButton="0" quotePrefix="0" xfId="0">
      <alignment horizontal="center" vertical="center"/>
    </xf>
    <xf numFmtId="165" fontId="24" fillId="3" borderId="2" applyAlignment="1" pivotButton="0" quotePrefix="0" xfId="0">
      <alignment horizontal="center" vertical="center"/>
    </xf>
    <xf numFmtId="0" fontId="0" fillId="10" borderId="2" pivotButton="0" quotePrefix="0" xfId="0"/>
    <xf numFmtId="0" fontId="25" fillId="10" borderId="2" applyAlignment="1" pivotButton="0" quotePrefix="0" xfId="0">
      <alignment horizontal="left" vertical="center"/>
    </xf>
    <xf numFmtId="0" fontId="26" fillId="8" borderId="2" applyAlignment="1" pivotButton="0" quotePrefix="0" xfId="0">
      <alignment horizontal="left" vertical="center" wrapText="1"/>
    </xf>
    <xf numFmtId="0" fontId="26" fillId="6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27" fillId="3" borderId="2" applyAlignment="1" pivotButton="0" quotePrefix="0" xfId="0">
      <alignment horizontal="left" vertical="center" wrapText="1"/>
    </xf>
    <xf numFmtId="0" fontId="29" fillId="0" borderId="0" pivotButton="0" quotePrefix="0" xfId="0"/>
    <xf numFmtId="0" fontId="4" fillId="14" borderId="2" applyAlignment="1" pivotButton="0" quotePrefix="0" xfId="0">
      <alignment horizontal="center" vertical="center"/>
    </xf>
    <xf numFmtId="0" fontId="4" fillId="1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left" vertical="center" wrapText="1"/>
    </xf>
    <xf numFmtId="164" fontId="16" fillId="6" borderId="2" applyAlignment="1" pivotButton="0" quotePrefix="0" xfId="0">
      <alignment horizontal="left" vertical="center" wrapText="1"/>
    </xf>
    <xf numFmtId="0" fontId="30" fillId="16" borderId="2" applyAlignment="1" pivotButton="0" quotePrefix="0" xfId="0">
      <alignment horizontal="left" vertical="center" wrapText="1"/>
    </xf>
    <xf numFmtId="0" fontId="16" fillId="8" borderId="2" applyAlignment="1" pivotButton="0" quotePrefix="0" xfId="0">
      <alignment horizontal="left" vertical="center" wrapText="1"/>
    </xf>
    <xf numFmtId="164" fontId="16" fillId="8" borderId="2" applyAlignment="1" pivotButton="0" quotePrefix="0" xfId="0">
      <alignment horizontal="left" vertical="center" wrapText="1"/>
    </xf>
    <xf numFmtId="0" fontId="31" fillId="13" borderId="2" applyAlignment="1" pivotButton="0" quotePrefix="0" xfId="0">
      <alignment horizontal="center" vertical="center"/>
    </xf>
    <xf numFmtId="0" fontId="31" fillId="13" borderId="2" applyAlignment="1" pivotButton="0" quotePrefix="0" xfId="0">
      <alignment horizontal="left" vertical="center"/>
    </xf>
    <xf numFmtId="164" fontId="32" fillId="12" borderId="2" applyAlignment="1" pivotButton="0" quotePrefix="0" xfId="0">
      <alignment horizontal="center" vertical="center"/>
    </xf>
    <xf numFmtId="164" fontId="33" fillId="3" borderId="2" applyAlignment="1" pivotButton="0" quotePrefix="0" xfId="0">
      <alignment horizontal="center" vertical="center"/>
    </xf>
    <xf numFmtId="165" fontId="29" fillId="0" borderId="0" pivotButton="0" quotePrefix="0" xfId="0"/>
    <xf numFmtId="0" fontId="0" fillId="0" borderId="4" pivotButton="0" quotePrefix="0" xfId="0"/>
    <xf numFmtId="164" fontId="34" fillId="18" borderId="2" applyAlignment="1" pivotButton="0" quotePrefix="0" xfId="0">
      <alignment horizontal="center" vertical="center"/>
    </xf>
    <xf numFmtId="0" fontId="35" fillId="2" borderId="1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 wrapText="1"/>
    </xf>
    <xf numFmtId="0" fontId="0" fillId="19" borderId="0" pivotButton="0" quotePrefix="0" xfId="0"/>
    <xf numFmtId="0" fontId="0" fillId="18" borderId="0" pivotButton="0" quotePrefix="0" xfId="0"/>
    <xf numFmtId="0" fontId="0" fillId="20" borderId="0" pivotButton="0" quotePrefix="0" xfId="0"/>
    <xf numFmtId="0" fontId="37" fillId="0" borderId="0" pivotButton="0" quotePrefix="0" xfId="0"/>
    <xf numFmtId="0" fontId="0" fillId="21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D6A38"/>
      <rgbColor rgb="FF000080"/>
      <rgbColor rgb="FF808000"/>
      <rgbColor rgb="FF800080"/>
      <rgbColor rgb="FF008080"/>
      <rgbColor rgb="FFB0B0B0"/>
      <rgbColor rgb="FF888888"/>
      <rgbColor rgb="FF9999FF"/>
      <rgbColor rgb="FFB71C1C"/>
      <rgbColor rgb="FFFFF3CD"/>
      <rgbColor rgb="FFE8F5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B"/>
      <rgbColor rgb="FFD6E4F0"/>
      <rgbColor rgb="FFFFF3E0"/>
      <rgbColor rgb="FFF5F5F5"/>
      <rgbColor rgb="FFFDECEA"/>
      <rgbColor rgb="FFCC99FF"/>
      <rgbColor rgb="FFFFE0E0"/>
      <rgbColor rgb="FF2E75B6"/>
      <rgbColor rgb="FF33CCCC"/>
      <rgbColor rgb="FF99CC00"/>
      <rgbColor rgb="FFFFC000"/>
      <rgbColor rgb="FFFF9900"/>
      <rgbColor rgb="FFE97E2C"/>
      <rgbColor rgb="FF666666"/>
      <rgbColor rgb="FF969696"/>
      <rgbColor rgb="FF1F3864"/>
      <rgbColor rgb="FF339966"/>
      <rgbColor rgb="FF003300"/>
      <rgbColor rgb="FF333300"/>
      <rgbColor rgb="FF7F3F00"/>
      <rgbColor rgb="FF993366"/>
      <rgbColor rgb="FF5555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9"/>
  <sheetViews>
    <sheetView tabSelected="1" zoomScaleNormal="100" workbookViewId="0">
      <pane ySplit="4" topLeftCell="A5" activePane="bottomLeft" state="frozen"/>
      <selection pane="bottomLeft" activeCell="A1" sqref="A1:I1"/>
    </sheetView>
  </sheetViews>
  <sheetFormatPr baseColWidth="8" defaultColWidth="8.6328125" defaultRowHeight="14.5"/>
  <cols>
    <col width="8" customWidth="1" min="1" max="1"/>
    <col width="58" customWidth="1" min="2" max="2"/>
    <col width="8" customWidth="1" min="3" max="3"/>
    <col width="12" customWidth="1" min="4" max="5"/>
    <col width="10" customWidth="1" min="6" max="7"/>
    <col width="14" customWidth="1" min="8" max="8"/>
    <col width="30" customWidth="1" min="9" max="9"/>
  </cols>
  <sheetData>
    <row r="1" ht="21.75" customHeight="1">
      <c r="A1" s="8" t="inlineStr">
        <is>
          <t>FIRE DOOR REMEDIAL WORKS — RATE CARD  |  Jay Davis / WestPark Interiors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2.75" customHeight="1">
      <c r="A2" s="7" t="inlineStr">
        <is>
          <t>MOCK RATES — FOR DEVELOPMENT/TESTING ONLY. Alex to replace with actual rates. Yellow = input cells.</t>
        </is>
      </c>
    </row>
    <row r="3" ht="12.75" customHeight="1">
      <c r="A3" s="6" t="inlineStr">
        <is>
          <t>Updated 19 March 2026: B11 (lipping repair) and B12 (leaf void infill) added. Height band variants on A-series. These cover ART 01 and ART 02 in the EAS/FireDNA system.</t>
        </is>
      </c>
    </row>
    <row r="4" ht="18" customHeight="1">
      <c r="A4" s="9" t="inlineStr">
        <is>
          <t>CODE</t>
        </is>
      </c>
      <c r="B4" s="9" t="inlineStr">
        <is>
          <t>DESCRIPTION</t>
        </is>
      </c>
      <c r="C4" s="9" t="inlineStr">
        <is>
          <t>UNIT</t>
        </is>
      </c>
      <c r="D4" s="9" t="inlineStr">
        <is>
          <t>MAT'S</t>
        </is>
      </c>
      <c r="E4" s="9" t="inlineStr">
        <is>
          <t>LABOUR</t>
        </is>
      </c>
      <c r="F4" s="9" t="inlineStr">
        <is>
          <t>T &amp; J</t>
        </is>
      </c>
      <c r="G4" s="9" t="inlineStr">
        <is>
          <t>HUMP</t>
        </is>
      </c>
      <c r="H4" s="9" t="inlineStr">
        <is>
          <t>TOTAL RATE</t>
        </is>
      </c>
      <c r="I4" s="9" t="inlineStr">
        <is>
          <t>NOTES</t>
        </is>
      </c>
    </row>
    <row r="5" ht="15.75" customHeight="1">
      <c r="A5" s="10" t="n"/>
      <c r="B5" s="11" t="inlineStr">
        <is>
          <t>A — FULL DOOR REPLACEMENT (supply &amp; fit certified fire door set including frame)</t>
        </is>
      </c>
      <c r="C5" s="10" t="n"/>
      <c r="D5" s="10" t="n"/>
      <c r="E5" s="10" t="n"/>
      <c r="F5" s="10" t="n"/>
      <c r="G5" s="10" t="n"/>
      <c r="H5" s="10" t="n"/>
      <c r="I5" s="10" t="n"/>
    </row>
    <row r="6" ht="15" customHeight="1">
      <c r="A6" s="12" t="inlineStr">
        <is>
          <t>A01</t>
        </is>
      </c>
      <c r="B6" s="13" t="inlineStr">
        <is>
          <t>FD30 — Single Leaf, Paint Grade, Height up to 2040mm</t>
        </is>
      </c>
      <c r="C6" s="14" t="inlineStr">
        <is>
          <t>no</t>
        </is>
      </c>
      <c r="D6" s="84" t="n">
        <v>593.08</v>
      </c>
      <c r="E6" s="84" t="n">
        <v>250</v>
      </c>
      <c r="F6" s="84" t="n">
        <v>0</v>
      </c>
      <c r="G6" s="84" t="n">
        <v>40</v>
      </c>
      <c r="H6" s="16" t="inlineStr"/>
      <c r="I6" s="17" t="inlineStr">
        <is>
          <t>Standard height — most common</t>
        </is>
      </c>
      <c r="J6" t="inlineStr"/>
    </row>
    <row r="7" ht="15" customHeight="1">
      <c r="A7" s="18" t="inlineStr">
        <is>
          <t>A02</t>
        </is>
      </c>
      <c r="B7" s="19" t="inlineStr">
        <is>
          <t>FD30 — Single Leaf, Paint Grade, Height 2040–2400mm</t>
        </is>
      </c>
      <c r="C7" s="20" t="inlineStr">
        <is>
          <t>no</t>
        </is>
      </c>
      <c r="D7" s="84" t="n">
        <v>682.1799999999999</v>
      </c>
      <c r="E7" s="84" t="n">
        <v>250</v>
      </c>
      <c r="F7" s="84" t="n">
        <v>0</v>
      </c>
      <c r="G7" s="84" t="n">
        <v>40</v>
      </c>
      <c r="H7" s="16" t="inlineStr"/>
      <c r="I7" s="21" t="inlineStr">
        <is>
          <t>Height uplift band</t>
        </is>
      </c>
      <c r="J7" t="inlineStr"/>
    </row>
    <row r="8" ht="15" customHeight="1">
      <c r="A8" s="12" t="inlineStr">
        <is>
          <t>A03</t>
        </is>
      </c>
      <c r="B8" s="13" t="inlineStr">
        <is>
          <t>FD30 — Single Leaf, Paint Grade, Height 2400–2730mm</t>
        </is>
      </c>
      <c r="C8" s="14" t="inlineStr">
        <is>
          <t>no</t>
        </is>
      </c>
      <c r="D8" s="84" t="n">
        <v>770.1799999999999</v>
      </c>
      <c r="E8" s="84" t="n">
        <v>250</v>
      </c>
      <c r="F8" s="84" t="n">
        <v>0</v>
      </c>
      <c r="G8" s="84" t="n">
        <v>40</v>
      </c>
      <c r="H8" s="16" t="inlineStr"/>
      <c r="I8" s="17" t="inlineStr">
        <is>
          <t>Tallest standard band</t>
        </is>
      </c>
      <c r="J8" t="inlineStr"/>
    </row>
    <row r="9" ht="15" customHeight="1">
      <c r="A9" s="18" t="inlineStr">
        <is>
          <t>A04</t>
        </is>
      </c>
      <c r="B9" s="19" t="inlineStr">
        <is>
          <t>FD30 — Double Leaf, Paint Grade, Height up to 2040mm</t>
        </is>
      </c>
      <c r="C9" s="20" t="inlineStr">
        <is>
          <t>no</t>
        </is>
      </c>
      <c r="D9" s="84" t="n">
        <v>993.73</v>
      </c>
      <c r="E9" s="84" t="n">
        <v>350</v>
      </c>
      <c r="F9" s="84" t="n">
        <v>0</v>
      </c>
      <c r="G9" s="84" t="n">
        <v>80</v>
      </c>
      <c r="H9" s="16" t="inlineStr"/>
      <c r="I9" s="21" t="inlineStr">
        <is>
          <t>Double leaf</t>
        </is>
      </c>
      <c r="J9" t="inlineStr"/>
    </row>
    <row r="10" ht="15" customHeight="1">
      <c r="A10" s="12" t="inlineStr">
        <is>
          <t>A05</t>
        </is>
      </c>
      <c r="B10" s="13" t="inlineStr">
        <is>
          <t>FD30S — Single Leaf, Paint Grade + Smoke Seals, Height up to 2040mm</t>
        </is>
      </c>
      <c r="C10" s="14" t="inlineStr">
        <is>
          <t>no</t>
        </is>
      </c>
      <c r="D10" s="84" t="n">
        <v>593.08</v>
      </c>
      <c r="E10" s="84" t="n">
        <v>250</v>
      </c>
      <c r="F10" s="84" t="n">
        <v>0</v>
      </c>
      <c r="G10" s="84" t="n">
        <v>40</v>
      </c>
      <c r="H10" s="16" t="inlineStr"/>
      <c r="I10" s="17" t="inlineStr">
        <is>
          <t>FD30S = FD30 + seals</t>
        </is>
      </c>
      <c r="J10" t="inlineStr"/>
    </row>
    <row r="11" ht="15" customHeight="1">
      <c r="A11" s="18" t="inlineStr">
        <is>
          <t>A06</t>
        </is>
      </c>
      <c r="B11" s="19" t="inlineStr">
        <is>
          <t>FD30S — Single Leaf, Paint Grade + Smoke Seals, Height 2040–2400mm</t>
        </is>
      </c>
      <c r="C11" s="20" t="inlineStr">
        <is>
          <t>no</t>
        </is>
      </c>
      <c r="D11" s="84" t="n">
        <v>682.1799999999999</v>
      </c>
      <c r="E11" s="84" t="n">
        <v>250</v>
      </c>
      <c r="F11" s="84" t="n">
        <v>0</v>
      </c>
      <c r="G11" s="84" t="n">
        <v>40</v>
      </c>
      <c r="H11" s="16" t="inlineStr"/>
      <c r="I11" s="21" t="inlineStr">
        <is>
          <t>Height uplift</t>
        </is>
      </c>
      <c r="J11" t="inlineStr"/>
    </row>
    <row r="12" ht="15" customHeight="1">
      <c r="A12" s="12" t="inlineStr">
        <is>
          <t>A07</t>
        </is>
      </c>
      <c r="B12" s="13" t="inlineStr">
        <is>
          <t>FD30S — Single Leaf, Paint Grade + Smoke Seals, Height 2400–2730mm</t>
        </is>
      </c>
      <c r="C12" s="14" t="inlineStr">
        <is>
          <t>no</t>
        </is>
      </c>
      <c r="D12" s="84" t="n">
        <v>770.1799999999999</v>
      </c>
      <c r="E12" s="84" t="n">
        <v>250</v>
      </c>
      <c r="F12" s="84" t="n">
        <v>0</v>
      </c>
      <c r="G12" s="84" t="n">
        <v>40</v>
      </c>
      <c r="H12" s="16" t="inlineStr"/>
      <c r="I12" s="17" t="inlineStr">
        <is>
          <t>Tallest band</t>
        </is>
      </c>
      <c r="J12" t="inlineStr"/>
    </row>
    <row r="13" ht="15" customHeight="1">
      <c r="A13" s="18" t="inlineStr">
        <is>
          <t>A08</t>
        </is>
      </c>
      <c r="B13" s="19" t="inlineStr">
        <is>
          <t>FD30S — Double Leaf, Paint Grade + Smoke Seals, Height up to 2040mm</t>
        </is>
      </c>
      <c r="C13" s="20" t="inlineStr">
        <is>
          <t>no</t>
        </is>
      </c>
      <c r="D13" s="84" t="n">
        <v>993.73</v>
      </c>
      <c r="E13" s="84" t="n">
        <v>350</v>
      </c>
      <c r="F13" s="84" t="n">
        <v>0</v>
      </c>
      <c r="G13" s="84" t="n">
        <v>80</v>
      </c>
      <c r="H13" s="16" t="inlineStr"/>
      <c r="I13" s="21" t="inlineStr">
        <is>
          <t>Double leaf FD30S</t>
        </is>
      </c>
      <c r="J13" t="inlineStr"/>
    </row>
    <row r="14" ht="15" customHeight="1">
      <c r="A14" s="12" t="inlineStr">
        <is>
          <t>A09</t>
        </is>
      </c>
      <c r="B14" s="13" t="inlineStr">
        <is>
          <t>FD60S — Single Leaf, Paint Grade + Smoke Seals, Height up to 2040mm</t>
        </is>
      </c>
      <c r="C14" s="14" t="inlineStr">
        <is>
          <t>no</t>
        </is>
      </c>
      <c r="D14" s="84" t="n">
        <v>768.65</v>
      </c>
      <c r="E14" s="84" t="n">
        <v>250</v>
      </c>
      <c r="F14" s="84" t="n">
        <v>0</v>
      </c>
      <c r="G14" s="84" t="n">
        <v>40</v>
      </c>
      <c r="H14" s="16" t="inlineStr"/>
      <c r="I14" s="17" t="inlineStr">
        <is>
          <t>60-min — required by fire strategy</t>
        </is>
      </c>
      <c r="J14" t="inlineStr"/>
    </row>
    <row r="15" ht="15" customHeight="1">
      <c r="A15" s="18" t="inlineStr">
        <is>
          <t>A10</t>
        </is>
      </c>
      <c r="B15" s="19" t="inlineStr">
        <is>
          <t>FD60S — Single Leaf, Paint Grade + Smoke Seals, Height 2040–2400mm</t>
        </is>
      </c>
      <c r="C15" s="20" t="inlineStr">
        <is>
          <t>no</t>
        </is>
      </c>
      <c r="D15" s="84" t="n">
        <v>865.15</v>
      </c>
      <c r="E15" s="84" t="n">
        <v>250</v>
      </c>
      <c r="F15" s="84" t="n">
        <v>0</v>
      </c>
      <c r="G15" s="84" t="n">
        <v>40</v>
      </c>
      <c r="H15" s="16" t="inlineStr"/>
      <c r="I15" s="21" t="inlineStr">
        <is>
          <t>Height uplift</t>
        </is>
      </c>
      <c r="J15" t="inlineStr"/>
    </row>
    <row r="16" ht="15" customHeight="1">
      <c r="A16" s="12" t="inlineStr">
        <is>
          <t>A11</t>
        </is>
      </c>
      <c r="B16" s="13" t="inlineStr">
        <is>
          <t>FD60S — Double Leaf, Paint Grade + Smoke Seals, Height up to 2040mm</t>
        </is>
      </c>
      <c r="C16" s="14" t="inlineStr">
        <is>
          <t>no</t>
        </is>
      </c>
      <c r="D16" s="84" t="n">
        <v>1229.2</v>
      </c>
      <c r="E16" s="84" t="n">
        <v>350</v>
      </c>
      <c r="F16" s="84" t="n">
        <v>0</v>
      </c>
      <c r="G16" s="84" t="n">
        <v>80</v>
      </c>
      <c r="H16" s="16" t="inlineStr"/>
      <c r="I16" s="17" t="inlineStr">
        <is>
          <t>Double leaf FD60S</t>
        </is>
      </c>
      <c r="J16" t="inlineStr"/>
    </row>
    <row r="17" ht="15" customHeight="1">
      <c r="A17" s="18" t="inlineStr">
        <is>
          <t>A12</t>
        </is>
      </c>
      <c r="B17" s="19" t="inlineStr">
        <is>
          <t>E/O Hardwood Veneer Finish — any size (uplift per door)</t>
        </is>
      </c>
      <c r="C17" s="20" t="inlineStr">
        <is>
          <t>no</t>
        </is>
      </c>
      <c r="D17" s="84" t="n">
        <v>100</v>
      </c>
      <c r="E17" s="84" t="n">
        <v>0</v>
      </c>
      <c r="F17" s="84" t="n">
        <v>0</v>
      </c>
      <c r="G17" s="84" t="n">
        <v>0</v>
      </c>
      <c r="H17" s="16" t="inlineStr"/>
      <c r="I17" s="21" t="inlineStr">
        <is>
          <t>On top of base rate</t>
        </is>
      </c>
      <c r="J17" t="inlineStr"/>
    </row>
    <row r="18" ht="15" customHeight="1">
      <c r="A18" s="12" t="inlineStr">
        <is>
          <t>A13</t>
        </is>
      </c>
      <c r="B18" s="13" t="inlineStr">
        <is>
          <t>E/O External Grade Specification — weathered locations</t>
        </is>
      </c>
      <c r="C18" s="14" t="inlineStr">
        <is>
          <t>no</t>
        </is>
      </c>
      <c r="D18" s="84" t="n">
        <v>150</v>
      </c>
      <c r="E18" s="84" t="n">
        <v>0</v>
      </c>
      <c r="F18" s="84" t="n">
        <v>0</v>
      </c>
      <c r="G18" s="84" t="n">
        <v>0</v>
      </c>
      <c r="H18" s="16" t="n"/>
      <c r="I18" s="17" t="inlineStr">
        <is>
          <t>On top of base rate</t>
        </is>
      </c>
      <c r="J18" t="inlineStr">
        <is>
          <t>⚠️ MOCK: Alex to confirm — under investigation</t>
        </is>
      </c>
    </row>
    <row r="19" ht="15" customHeight="1">
      <c r="A19" s="18" t="inlineStr">
        <is>
          <t>A14</t>
        </is>
      </c>
      <c r="B19" s="19" t="inlineStr">
        <is>
          <t>E/O Fire-Rated Vision Panel up to 300 x 600mm</t>
        </is>
      </c>
      <c r="C19" s="20" t="inlineStr">
        <is>
          <t>no</t>
        </is>
      </c>
      <c r="D19" s="84" t="n">
        <v>139.18</v>
      </c>
      <c r="E19" s="84" t="n">
        <v>0</v>
      </c>
      <c r="F19" s="84" t="n">
        <v>0</v>
      </c>
      <c r="G19" s="84" t="n">
        <v>0</v>
      </c>
      <c r="H19" s="16" t="inlineStr"/>
      <c r="I19" s="21" t="inlineStr">
        <is>
          <t>Supply &amp; fit fire-rated glazing</t>
        </is>
      </c>
      <c r="J19" t="inlineStr"/>
    </row>
    <row r="20" ht="15" customHeight="1">
      <c r="A20" s="12" t="inlineStr">
        <is>
          <t>A15</t>
        </is>
      </c>
      <c r="B20" s="13" t="inlineStr">
        <is>
          <t>E/O Fire-Rated Vision Panel over 300 x 600mm</t>
        </is>
      </c>
      <c r="C20" s="14" t="inlineStr">
        <is>
          <t>no</t>
        </is>
      </c>
      <c r="D20" s="84" t="n">
        <v>200</v>
      </c>
      <c r="E20" s="84" t="n">
        <v>0</v>
      </c>
      <c r="F20" s="84" t="n">
        <v>0</v>
      </c>
      <c r="G20" s="84" t="n">
        <v>0</v>
      </c>
      <c r="H20" s="16" t="n"/>
      <c r="I20" s="17" t="inlineStr">
        <is>
          <t>Larger vision panel</t>
        </is>
      </c>
      <c r="J20" t="inlineStr">
        <is>
          <t>⚠️ MOCK: Alex to confirm price for larger FD30 panel</t>
        </is>
      </c>
    </row>
    <row r="21" ht="15.75" customHeight="1">
      <c r="A21" s="10" t="n"/>
      <c r="B21" s="11" t="inlineStr">
        <is>
          <t>B — REMEDIAL WORKS (no door replacement — note: does NOT produce a certified fire door set)</t>
        </is>
      </c>
      <c r="C21" s="10" t="n"/>
      <c r="D21" s="10" t="n"/>
      <c r="E21" s="10" t="n"/>
      <c r="F21" s="10" t="n"/>
      <c r="G21" s="10" t="n"/>
      <c r="H21" s="10" t="n"/>
      <c r="I21" s="10" t="n"/>
    </row>
    <row r="22" ht="15" customHeight="1">
      <c r="A22" s="12" t="inlineStr">
        <is>
          <t>B01</t>
        </is>
      </c>
      <c r="B22" s="13" t="inlineStr">
        <is>
          <t>Supply &amp; fit intumescent + smoke seals — head, jambs, meeting edges</t>
        </is>
      </c>
      <c r="C22" s="14" t="inlineStr">
        <is>
          <t>no</t>
        </is>
      </c>
      <c r="D22" s="84" t="n">
        <v>67.65000000000001</v>
      </c>
      <c r="E22" s="84" t="n">
        <v>75</v>
      </c>
      <c r="F22" s="84" t="n">
        <v>0</v>
      </c>
      <c r="G22" s="84" t="n">
        <v>0</v>
      </c>
      <c r="H22" s="16" t="inlineStr"/>
      <c r="I22" s="17" t="inlineStr">
        <is>
          <t>Most common remedial action</t>
        </is>
      </c>
      <c r="J22" t="inlineStr"/>
    </row>
    <row r="23" ht="15" customHeight="1">
      <c r="A23" s="18" t="inlineStr">
        <is>
          <t>B02</t>
        </is>
      </c>
      <c r="B23" s="19" t="inlineStr">
        <is>
          <t>Supply &amp; fit intumescent seals only — no smoke seal</t>
        </is>
      </c>
      <c r="C23" s="20" t="inlineStr">
        <is>
          <t>no</t>
        </is>
      </c>
      <c r="D23" s="84" t="n">
        <v>67.65000000000001</v>
      </c>
      <c r="E23" s="84" t="n">
        <v>75</v>
      </c>
      <c r="F23" s="84" t="n">
        <v>0</v>
      </c>
      <c r="G23" s="84" t="n">
        <v>0</v>
      </c>
      <c r="H23" s="16" t="inlineStr"/>
      <c r="I23" s="21" t="inlineStr">
        <is>
          <t>Lower spec</t>
        </is>
      </c>
      <c r="J23" t="inlineStr"/>
    </row>
    <row r="24" ht="15" customHeight="1">
      <c r="A24" s="12" t="inlineStr">
        <is>
          <t>B03</t>
        </is>
      </c>
      <c r="B24" s="13" t="inlineStr">
        <is>
          <t>Replace overhead door closer — supply &amp; fit, CE-marked BS EN 1154</t>
        </is>
      </c>
      <c r="C24" s="14" t="inlineStr">
        <is>
          <t>no</t>
        </is>
      </c>
      <c r="D24" s="84" t="n">
        <v>45</v>
      </c>
      <c r="E24" s="84" t="n">
        <v>37.5</v>
      </c>
      <c r="F24" s="84" t="n">
        <v>0</v>
      </c>
      <c r="G24" s="84" t="n">
        <v>0</v>
      </c>
      <c r="H24" s="16" t="inlineStr"/>
      <c r="I24" s="17" t="inlineStr">
        <is>
          <t>Standard closer replacement</t>
        </is>
      </c>
      <c r="J24" t="inlineStr"/>
    </row>
    <row r="25" ht="15" customHeight="1">
      <c r="A25" s="18" t="inlineStr">
        <is>
          <t>B04</t>
        </is>
      </c>
      <c r="B25" s="19" t="inlineStr">
        <is>
          <t>Replace / fix hinge set — screws or full replacement, BS EN 1935 Grade 11</t>
        </is>
      </c>
      <c r="C25" s="20" t="inlineStr">
        <is>
          <t>no</t>
        </is>
      </c>
      <c r="D25" s="84" t="n">
        <v>15</v>
      </c>
      <c r="E25" s="84" t="n">
        <v>75</v>
      </c>
      <c r="F25" s="84" t="n">
        <v>0</v>
      </c>
      <c r="G25" s="84" t="n">
        <v>0</v>
      </c>
      <c r="H25" s="16" t="inlineStr"/>
      <c r="I25" s="21" t="inlineStr">
        <is>
          <t>Check whether screws or full hinge needed</t>
        </is>
      </c>
      <c r="J25" t="inlineStr"/>
    </row>
    <row r="26" ht="15" customHeight="1">
      <c r="A26" s="12" t="inlineStr">
        <is>
          <t>B05</t>
        </is>
      </c>
      <c r="B26" s="13" t="inlineStr">
        <is>
          <t>Replace lever handles / latch set — supply &amp; fit, CE-marked ironmongery</t>
        </is>
      </c>
      <c r="C26" s="14" t="inlineStr">
        <is>
          <t>no</t>
        </is>
      </c>
      <c r="D26" s="84" t="n">
        <v>25</v>
      </c>
      <c r="E26" s="84" t="n">
        <v>75</v>
      </c>
      <c r="F26" s="84" t="n">
        <v>0</v>
      </c>
      <c r="G26" s="84" t="n">
        <v>0</v>
      </c>
      <c r="H26" s="16" t="inlineStr"/>
      <c r="I26" s="17" t="inlineStr">
        <is>
          <t>SSS finish unless specified</t>
        </is>
      </c>
      <c r="J26" t="inlineStr"/>
    </row>
    <row r="27" ht="15" customHeight="1">
      <c r="A27" s="18" t="inlineStr">
        <is>
          <t>B06</t>
        </is>
      </c>
      <c r="B27" s="19" t="inlineStr">
        <is>
          <t>Fire-stop frame-to-wall gap — intumescent mastic / ablative batt</t>
        </is>
      </c>
      <c r="C27" s="20" t="inlineStr">
        <is>
          <t>no</t>
        </is>
      </c>
      <c r="D27" s="84" t="n">
        <v>10</v>
      </c>
      <c r="E27" s="84" t="n">
        <v>75</v>
      </c>
      <c r="F27" s="84" t="n">
        <v>0</v>
      </c>
      <c r="G27" s="84" t="n">
        <v>0</v>
      </c>
      <c r="H27" s="16" t="inlineStr"/>
      <c r="I27" s="21" t="inlineStr">
        <is>
          <t>Per door</t>
        </is>
      </c>
      <c r="J27" t="inlineStr"/>
    </row>
    <row r="28" ht="15" customHeight="1">
      <c r="A28" s="12" t="inlineStr">
        <is>
          <t>B07</t>
        </is>
      </c>
      <c r="B28" s="13" t="inlineStr">
        <is>
          <t>Add or replace fire door signage — correct type per door (Keep Shut / Keep Locked)</t>
        </is>
      </c>
      <c r="C28" s="14" t="inlineStr">
        <is>
          <t>no</t>
        </is>
      </c>
      <c r="D28" s="84" t="n">
        <v>10</v>
      </c>
      <c r="E28" s="84" t="n">
        <v>37.5</v>
      </c>
      <c r="F28" s="84" t="n">
        <v>0</v>
      </c>
      <c r="G28" s="84" t="n">
        <v>0</v>
      </c>
      <c r="H28" s="16" t="inlineStr"/>
      <c r="I28" s="17" t="inlineStr">
        <is>
          <t>Per door — 2 signs per leaf</t>
        </is>
      </c>
      <c r="J28" t="inlineStr"/>
    </row>
    <row r="29" ht="15" customHeight="1">
      <c r="A29" s="18" t="inlineStr">
        <is>
          <t>B08</t>
        </is>
      </c>
      <c r="B29" s="19" t="inlineStr">
        <is>
          <t>Supply &amp; fit electromagnetic hold-open device — fire alarm linked</t>
        </is>
      </c>
      <c r="C29" s="20" t="inlineStr">
        <is>
          <t>no</t>
        </is>
      </c>
      <c r="D29" s="84" t="n">
        <v>325</v>
      </c>
      <c r="E29" s="84" t="n">
        <v>0</v>
      </c>
      <c r="F29" s="84" t="n">
        <v>0</v>
      </c>
      <c r="G29" s="84" t="n">
        <v>0</v>
      </c>
      <c r="H29" s="16" t="n"/>
      <c r="I29" s="21" t="inlineStr">
        <is>
          <t>Requires electrical connection</t>
        </is>
      </c>
      <c r="J29" t="inlineStr">
        <is>
          <t>⚠️ MOCK: Alex cannot price access control items — quote separately per job</t>
        </is>
      </c>
    </row>
    <row r="30" ht="15" customHeight="1">
      <c r="A30" s="12" t="inlineStr">
        <is>
          <t>B09</t>
        </is>
      </c>
      <c r="B30" s="13" t="inlineStr">
        <is>
          <t>Replace threshold / automatic drop seal</t>
        </is>
      </c>
      <c r="C30" s="14" t="inlineStr">
        <is>
          <t>no</t>
        </is>
      </c>
      <c r="D30" s="84" t="n">
        <v>125</v>
      </c>
      <c r="E30" s="84" t="n">
        <v>0</v>
      </c>
      <c r="F30" s="84" t="n">
        <v>0</v>
      </c>
      <c r="G30" s="84" t="n">
        <v>0</v>
      </c>
      <c r="H30" s="16" t="n"/>
      <c r="I30" s="17" t="inlineStr">
        <is>
          <t>Per door</t>
        </is>
      </c>
      <c r="J30" t="inlineStr">
        <is>
          <t>⚠️ MOCK: Alex cannot price access control items — quote separately per job</t>
        </is>
      </c>
    </row>
    <row r="31" ht="15" customHeight="1">
      <c r="A31" s="18" t="inlineStr">
        <is>
          <t>B10</t>
        </is>
      </c>
      <c r="B31" s="19" t="inlineStr">
        <is>
          <t>Adjust / re-hang door leaf — binding, distortion, incorrect gaps, snagging on floor</t>
        </is>
      </c>
      <c r="C31" s="20" t="inlineStr">
        <is>
          <t>no</t>
        </is>
      </c>
      <c r="D31" s="84" t="n">
        <v>300</v>
      </c>
      <c r="E31" s="84" t="n">
        <v>0</v>
      </c>
      <c r="F31" s="84" t="n">
        <v>0</v>
      </c>
      <c r="G31" s="84" t="n">
        <v>0</v>
      </c>
      <c r="H31" s="16" t="n"/>
      <c r="I31" s="21" t="inlineStr">
        <is>
          <t>Labour only</t>
        </is>
      </c>
      <c r="J31" t="inlineStr">
        <is>
          <t>⚠️ MOCK: Hourly rate £37.50/hr or minimum 1 day carpenter £300 cost — Matt to confirm per-door rate</t>
        </is>
      </c>
    </row>
    <row r="32" ht="15" customHeight="1">
      <c r="A32" s="22" t="inlineStr">
        <is>
          <t>B11</t>
        </is>
      </c>
      <c r="B32" s="23" t="inlineStr">
        <is>
          <t>Door lipping repair — damaged / missing lipping re-lipped with hardwood (min 640kg/m3) *** NEW ***</t>
        </is>
      </c>
      <c r="C32" s="24" t="inlineStr">
        <is>
          <t>no</t>
        </is>
      </c>
      <c r="D32" s="84" t="n">
        <v>30</v>
      </c>
      <c r="E32" s="84" t="n">
        <v>37.5</v>
      </c>
      <c r="F32" s="84" t="n">
        <v>0</v>
      </c>
      <c r="G32" s="84" t="n">
        <v>0</v>
      </c>
      <c r="H32" s="16" t="inlineStr"/>
      <c r="I32" s="25" t="inlineStr">
        <is>
          <t>Covers ART 01 in EAS/FireDNA system. Common fault — appears on ~20% of doors surveyed.</t>
        </is>
      </c>
      <c r="J32" t="inlineStr"/>
    </row>
    <row r="33" ht="15" customHeight="1">
      <c r="A33" s="22" t="inlineStr">
        <is>
          <t>B12</t>
        </is>
      </c>
      <c r="B33" s="23" t="inlineStr">
        <is>
          <t>Door leaf void infill — repair hole/void from removed hardware using hardwood timber insert *** NEW ***</t>
        </is>
      </c>
      <c r="C33" s="24" t="inlineStr">
        <is>
          <t>no</t>
        </is>
      </c>
      <c r="D33" s="84" t="n">
        <v>500</v>
      </c>
      <c r="E33" s="84" t="n">
        <v>0</v>
      </c>
      <c r="F33" s="84" t="n">
        <v>0</v>
      </c>
      <c r="G33" s="84" t="n">
        <v>0</v>
      </c>
      <c r="H33" s="16" t="n"/>
      <c r="I33" s="25" t="inlineStr">
        <is>
          <t>Covers ART 02 in EAS/FireDNA system. Appears frequently on tenant doors. Per hole/void.</t>
        </is>
      </c>
      <c r="J33" t="inlineStr">
        <is>
          <t>⚠️ MOCK: Hourly rate £62.50/hr or minimum 1 day magic man £500 cost — Matt to confirm per-door rate</t>
        </is>
      </c>
    </row>
    <row r="34" ht="15.75" customHeight="1">
      <c r="A34" s="10" t="n"/>
      <c r="B34" s="11" t="inlineStr">
        <is>
          <t>C — PRELIMINARIES &amp; ANCILLARIES</t>
        </is>
      </c>
      <c r="C34" s="10" t="n"/>
      <c r="D34" s="10" t="n"/>
      <c r="E34" s="10" t="n"/>
      <c r="F34" s="10" t="n"/>
      <c r="G34" s="10" t="n"/>
      <c r="H34" s="10" t="n"/>
      <c r="I34" s="10" t="n"/>
    </row>
    <row r="35" ht="15" customHeight="1">
      <c r="A35" s="18" t="inlineStr">
        <is>
          <t>C01</t>
        </is>
      </c>
      <c r="B35" s="19" t="inlineStr">
        <is>
          <t>Mobilisation / Site setup — fixed call-out per visit</t>
        </is>
      </c>
      <c r="C35" s="20" t="inlineStr">
        <is>
          <t>visit</t>
        </is>
      </c>
      <c r="D35" s="84" t="n">
        <v>170</v>
      </c>
      <c r="E35" s="84" t="n">
        <v>0</v>
      </c>
      <c r="F35" s="84" t="n">
        <v>0</v>
      </c>
      <c r="G35" s="84" t="n">
        <v>0</v>
      </c>
      <c r="H35" s="16" t="n"/>
      <c r="I35" s="21" t="inlineStr">
        <is>
          <t>Travel, van, tools, PPE</t>
        </is>
      </c>
      <c r="J35" t="inlineStr">
        <is>
          <t>⚠️ MOCK: Alex to confirm call-out rate</t>
        </is>
      </c>
    </row>
    <row r="36" ht="15" customHeight="1">
      <c r="A36" s="12" t="inlineStr">
        <is>
          <t>C02</t>
        </is>
      </c>
      <c r="B36" s="13" t="inlineStr">
        <is>
          <t>Waste removal &amp; disposal — per door (average)</t>
        </is>
      </c>
      <c r="C36" s="14" t="inlineStr">
        <is>
          <t>no</t>
        </is>
      </c>
      <c r="D36" s="84" t="n">
        <v>300</v>
      </c>
      <c r="E36" s="84" t="n">
        <v>0</v>
      </c>
      <c r="F36" s="84" t="n">
        <v>0</v>
      </c>
      <c r="G36" s="84" t="n">
        <v>0</v>
      </c>
      <c r="H36" s="16" t="n"/>
      <c r="I36" s="17" t="inlineStr">
        <is>
          <t>Removed doors, packaging, debris</t>
        </is>
      </c>
      <c r="J36" t="inlineStr">
        <is>
          <t>⚠️ MOCK: Alex: £300 minimum per visit — not per door. Matt to confirm how to allocate across jobs</t>
        </is>
      </c>
    </row>
    <row r="37" ht="15" customHeight="1">
      <c r="A37" s="18" t="inlineStr">
        <is>
          <t>C03</t>
        </is>
      </c>
      <c r="B37" s="19" t="inlineStr">
        <is>
          <t>Certification &amp; completion documentation — per door</t>
        </is>
      </c>
      <c r="C37" s="20" t="inlineStr">
        <is>
          <t>no</t>
        </is>
      </c>
      <c r="D37" s="84" t="n">
        <v>40</v>
      </c>
      <c r="E37" s="84" t="n">
        <v>0</v>
      </c>
      <c r="F37" s="84" t="n">
        <v>0</v>
      </c>
      <c r="G37" s="84" t="n">
        <v>0</v>
      </c>
      <c r="H37" s="16" t="n"/>
      <c r="I37" s="21" t="inlineStr">
        <is>
          <t>Photo record, cert, handover pack</t>
        </is>
      </c>
      <c r="J37" t="inlineStr">
        <is>
          <t>⚠️ MOCK: Alex to confirm per-door certification rate</t>
        </is>
      </c>
    </row>
    <row r="38" ht="15" customHeight="1">
      <c r="A38" s="12" t="inlineStr">
        <is>
          <t>C04</t>
        </is>
      </c>
      <c r="B38" s="13" t="inlineStr">
        <is>
          <t>Out-of-hours uplift — per day if required</t>
        </is>
      </c>
      <c r="C38" s="14" t="inlineStr">
        <is>
          <t>day</t>
        </is>
      </c>
      <c r="D38" s="84" t="n">
        <v>0</v>
      </c>
      <c r="E38" s="84" t="n">
        <v>200</v>
      </c>
      <c r="F38" s="84" t="n">
        <v>0</v>
      </c>
      <c r="G38" s="84" t="n">
        <v>0</v>
      </c>
      <c r="H38" s="16">
        <f>SUM(D38:G38)</f>
        <v/>
      </c>
      <c r="I38" s="17" t="inlineStr">
        <is>
          <t>Evening / weekend premium</t>
        </is>
      </c>
    </row>
    <row r="39" ht="15" customHeight="1">
      <c r="A39" s="18" t="inlineStr">
        <is>
          <t>C05</t>
        </is>
      </c>
      <c r="B39" s="19" t="inlineStr">
        <is>
          <t>Scaffold / access equipment — PROVISIONAL</t>
        </is>
      </c>
      <c r="C39" s="20" t="inlineStr">
        <is>
          <t>item</t>
        </is>
      </c>
      <c r="D39" s="84" t="n">
        <v>500</v>
      </c>
      <c r="E39" s="84" t="n">
        <v>0</v>
      </c>
      <c r="F39" s="84" t="n">
        <v>0</v>
      </c>
      <c r="G39" s="84" t="n">
        <v>0</v>
      </c>
      <c r="H39" s="16" t="n"/>
      <c r="I39" s="21" t="inlineStr">
        <is>
          <t>Where standard access not possible</t>
        </is>
      </c>
      <c r="J39" t="inlineStr">
        <is>
          <t>⚠️ MOCK: Job by job basis — Alex cannot provide standard rate</t>
        </is>
      </c>
    </row>
    <row r="40"/>
    <row r="41"/>
    <row r="42"/>
    <row r="43"/>
    <row r="44"/>
    <row r="45"/>
    <row r="46"/>
    <row r="47"/>
    <row r="48"/>
    <row r="49"/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328125" defaultRowHeight="14.5"/>
  <cols>
    <col width="9" customWidth="1" min="1" max="1"/>
    <col width="32" customWidth="1" min="2" max="2"/>
    <col width="18" customWidth="1" min="3" max="3"/>
    <col width="12" customWidth="1" min="4" max="4"/>
    <col width="20" customWidth="1" min="5" max="5"/>
    <col width="16" customWidth="1" min="6" max="6"/>
    <col width="10" customWidth="1" min="7" max="7"/>
    <col width="18" customWidth="1" min="8" max="9"/>
    <col width="12" customWidth="1" min="10" max="10"/>
    <col width="28" customWidth="1" min="11" max="11"/>
    <col width="10" customWidth="1" min="12" max="13"/>
    <col width="8" customWidth="1" min="14" max="16"/>
    <col width="5" customWidth="1" min="17" max="17"/>
    <col width="10" customWidth="1" min="18" max="20"/>
    <col width="12" customWidth="1" min="21" max="21"/>
    <col width="30" customWidth="1" min="22" max="22"/>
  </cols>
  <sheetData>
    <row r="1" ht="21.75" customHeight="1">
      <c r="A1" s="85" t="inlineStr">
        <is>
          <t>FIRE DOOR REMEDIAL WORKS — DOOR SCHEDULE  |  AI-populated from survey PDF or Excel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83" t="n"/>
      <c r="N1" s="83" t="n"/>
      <c r="O1" s="83" t="n"/>
      <c r="P1" s="83" t="n"/>
      <c r="Q1" s="83" t="n"/>
      <c r="R1" s="83" t="n"/>
      <c r="S1" s="83" t="n"/>
      <c r="T1" s="83" t="n"/>
      <c r="U1" s="83" t="n"/>
      <c r="V1" s="83" t="n"/>
    </row>
    <row r="2" ht="25.5" customHeight="1">
      <c r="A2" s="86" t="inlineStr">
        <is>
          <t>Survey: AlphaSights Thames Court | EAS Interiors Ltd | BM TRADA 1470 | 6 March 2026 | 39 doors across Level 2 &amp; Level 3</t>
        </is>
      </c>
    </row>
    <row r="3" ht="31.5" customHeight="1">
      <c r="A3" s="26" t="inlineStr">
        <is>
          <t>DOOR ID</t>
        </is>
      </c>
      <c r="B3" s="26" t="inlineStr">
        <is>
          <t>LOCATION</t>
        </is>
      </c>
      <c r="C3" s="26" t="inlineStr">
        <is>
          <t>DOOR TYPE</t>
        </is>
      </c>
      <c r="D3" s="26" t="inlineStr">
        <is>
          <t>CURRENT RATING</t>
        </is>
      </c>
      <c r="E3" s="26" t="inlineStr">
        <is>
          <t>LEAF CONFIG</t>
        </is>
      </c>
      <c r="F3" s="26" t="inlineStr">
        <is>
          <t>LEAF SIZE</t>
        </is>
      </c>
      <c r="G3" s="26" t="inlineStr">
        <is>
          <t>FINISH</t>
        </is>
      </c>
      <c r="H3" s="26" t="inlineStr">
        <is>
          <t>SEALS</t>
        </is>
      </c>
      <c r="I3" s="26" t="inlineStr">
        <is>
          <t>CLOSER</t>
        </is>
      </c>
      <c r="J3" s="26" t="inlineStr">
        <is>
          <t>VISION PANEL</t>
        </is>
      </c>
      <c r="K3" s="26" t="inlineStr">
        <is>
          <t>ACTION DESCRIPTION</t>
        </is>
      </c>
      <c r="L3" s="26" t="inlineStr">
        <is>
          <t>SEVERITY</t>
        </is>
      </c>
      <c r="M3" s="26" t="inlineStr">
        <is>
          <t>DUE DATE</t>
        </is>
      </c>
      <c r="N3" s="26" t="inlineStr">
        <is>
          <t>OPT A
REMEDIAL?</t>
        </is>
      </c>
      <c r="O3" s="26" t="inlineStr">
        <is>
          <t>OPT B
REPLACE?</t>
        </is>
      </c>
      <c r="P3" s="26" t="inlineStr">
        <is>
          <t>OPT B
BASE ITEM</t>
        </is>
      </c>
      <c r="Q3" s="26" t="inlineStr">
        <is>
          <t>QTY</t>
        </is>
      </c>
      <c r="R3" s="26" t="inlineStr">
        <is>
          <t>E/O
OVERSIZE?</t>
        </is>
      </c>
      <c r="S3" s="26" t="inlineStr">
        <is>
          <t>E/O
HARDWOOD?</t>
        </is>
      </c>
      <c r="T3" s="26" t="inlineStr">
        <is>
          <t>E/O
EXTERNAL?</t>
        </is>
      </c>
      <c r="U3" s="26" t="inlineStr">
        <is>
          <t>E/O
VISION?</t>
        </is>
      </c>
      <c r="V3" s="26" t="inlineStr">
        <is>
          <t>NOTES / FLAGS</t>
        </is>
      </c>
    </row>
    <row r="4" ht="18" customHeight="1">
      <c r="A4" s="13" t="inlineStr">
        <is>
          <t>A01-L2</t>
        </is>
      </c>
      <c r="B4" s="13" t="inlineStr">
        <is>
          <t>Core 1 tenant DB riser</t>
        </is>
      </c>
      <c r="C4" s="13" t="inlineStr">
        <is>
          <t>Tenant/Riser/AHU</t>
        </is>
      </c>
      <c r="D4" s="13" t="inlineStr">
        <is>
          <t>FD30</t>
        </is>
      </c>
      <c r="E4" s="13" t="inlineStr">
        <is>
          <t>Single Leaf</t>
        </is>
      </c>
      <c r="F4" s="13" t="inlineStr">
        <is>
          <t>Unknown</t>
        </is>
      </c>
      <c r="G4" s="13" t="inlineStr">
        <is>
          <t>Paint</t>
        </is>
      </c>
      <c r="H4" s="13" t="inlineStr">
        <is>
          <t>None</t>
        </is>
      </c>
      <c r="I4" s="13" t="inlineStr">
        <is>
          <t>Unknown</t>
        </is>
      </c>
      <c r="J4" s="13" t="inlineStr">
        <is>
          <t>None</t>
        </is>
      </c>
      <c r="K4" s="13" t="inlineStr">
        <is>
          <t>ART01, ART02, ART04, ART19</t>
        </is>
      </c>
      <c r="L4" s="13" t="inlineStr">
        <is>
          <t>High</t>
        </is>
      </c>
      <c r="M4" s="13" t="inlineStr">
        <is>
          <t>06/09/2026</t>
        </is>
      </c>
      <c r="N4" s="27" t="inlineStr">
        <is>
          <t>YES</t>
        </is>
      </c>
      <c r="O4" s="13" t="inlineStr">
        <is>
          <t>NO</t>
        </is>
      </c>
      <c r="P4" s="28" t="inlineStr">
        <is>
          <t>B11</t>
        </is>
      </c>
      <c r="Q4" s="13" t="n">
        <v>1</v>
      </c>
      <c r="R4" s="13" t="inlineStr">
        <is>
          <t>NO</t>
        </is>
      </c>
      <c r="S4" s="13" t="inlineStr">
        <is>
          <t>NO</t>
        </is>
      </c>
      <c r="T4" s="13" t="inlineStr">
        <is>
          <t>NO</t>
        </is>
      </c>
      <c r="U4" s="13" t="inlineStr">
        <is>
          <t>NO</t>
        </is>
      </c>
      <c r="V4" s="13" t="inlineStr">
        <is>
          <t>ARTs: 01,02,04,19</t>
        </is>
      </c>
    </row>
    <row r="5" ht="18" customHeight="1">
      <c r="A5" s="19" t="inlineStr">
        <is>
          <t>A02-L2</t>
        </is>
      </c>
      <c r="B5" s="19" t="inlineStr">
        <is>
          <t>Core 1 tenant door</t>
        </is>
      </c>
      <c r="C5" s="19" t="inlineStr">
        <is>
          <t>Tenant/Riser/AHU</t>
        </is>
      </c>
      <c r="D5" s="19" t="inlineStr">
        <is>
          <t>FD60</t>
        </is>
      </c>
      <c r="E5" s="19" t="inlineStr">
        <is>
          <t>Single Leaf</t>
        </is>
      </c>
      <c r="F5" s="19" t="inlineStr">
        <is>
          <t>Unknown</t>
        </is>
      </c>
      <c r="G5" s="19" t="inlineStr">
        <is>
          <t>Unknown</t>
        </is>
      </c>
      <c r="H5" s="19" t="inlineStr">
        <is>
          <t>Checked</t>
        </is>
      </c>
      <c r="I5" s="19" t="inlineStr">
        <is>
          <t>Overhead Closer</t>
        </is>
      </c>
      <c r="J5" s="19" t="inlineStr">
        <is>
          <t>None</t>
        </is>
      </c>
      <c r="K5" s="19" t="inlineStr">
        <is>
          <t>ART02, ART05</t>
        </is>
      </c>
      <c r="L5" s="19" t="inlineStr">
        <is>
          <t>High</t>
        </is>
      </c>
      <c r="M5" s="19" t="inlineStr">
        <is>
          <t>06/09/2026</t>
        </is>
      </c>
      <c r="N5" s="27" t="inlineStr">
        <is>
          <t>YES</t>
        </is>
      </c>
      <c r="O5" s="19" t="inlineStr">
        <is>
          <t>NO</t>
        </is>
      </c>
      <c r="P5" s="28" t="inlineStr">
        <is>
          <t>B12</t>
        </is>
      </c>
      <c r="Q5" s="19" t="n">
        <v>1</v>
      </c>
      <c r="R5" s="19" t="inlineStr">
        <is>
          <t>NO</t>
        </is>
      </c>
      <c r="S5" s="29" t="inlineStr">
        <is>
          <t>NO</t>
        </is>
      </c>
      <c r="T5" s="19" t="inlineStr">
        <is>
          <t>NO</t>
        </is>
      </c>
      <c r="U5" s="19" t="inlineStr">
        <is>
          <t>NO</t>
        </is>
      </c>
      <c r="V5" s="19" t="inlineStr">
        <is>
          <t>ARTs: 02,05</t>
        </is>
      </c>
    </row>
    <row r="6" ht="18" customHeight="1">
      <c r="A6" s="13" t="inlineStr">
        <is>
          <t>A03-L2</t>
        </is>
      </c>
      <c r="B6" s="13" t="inlineStr">
        <is>
          <t>AHU 1 inner door</t>
        </is>
      </c>
      <c r="C6" s="13" t="inlineStr">
        <is>
          <t>Tenant/Riser/AHU</t>
        </is>
      </c>
      <c r="D6" s="13" t="inlineStr">
        <is>
          <t>Nominal</t>
        </is>
      </c>
      <c r="E6" s="13" t="inlineStr">
        <is>
          <t>Single Leaf</t>
        </is>
      </c>
      <c r="F6" s="13" t="inlineStr">
        <is>
          <t>Unknown</t>
        </is>
      </c>
      <c r="G6" s="13" t="inlineStr">
        <is>
          <t>Paint</t>
        </is>
      </c>
      <c r="H6" s="13" t="inlineStr">
        <is>
          <t>Missing</t>
        </is>
      </c>
      <c r="I6" s="13" t="inlineStr">
        <is>
          <t>Unknown</t>
        </is>
      </c>
      <c r="J6" s="13" t="inlineStr">
        <is>
          <t>None</t>
        </is>
      </c>
      <c r="K6" s="13" t="inlineStr">
        <is>
          <t>ART04, ART11, ART16</t>
        </is>
      </c>
      <c r="L6" s="13" t="inlineStr">
        <is>
          <t>High</t>
        </is>
      </c>
      <c r="M6" s="13" t="inlineStr">
        <is>
          <t>06/09/2026</t>
        </is>
      </c>
      <c r="N6" s="27" t="inlineStr">
        <is>
          <t>YES</t>
        </is>
      </c>
      <c r="O6" s="13" t="inlineStr">
        <is>
          <t>NO</t>
        </is>
      </c>
      <c r="P6" s="28" t="inlineStr">
        <is>
          <t>B10</t>
        </is>
      </c>
      <c r="Q6" s="13" t="n">
        <v>1</v>
      </c>
      <c r="R6" s="13" t="inlineStr">
        <is>
          <t>NO</t>
        </is>
      </c>
      <c r="S6" s="13" t="inlineStr">
        <is>
          <t>NO</t>
        </is>
      </c>
      <c r="T6" s="13" t="inlineStr">
        <is>
          <t>NO</t>
        </is>
      </c>
      <c r="U6" s="13" t="inlineStr">
        <is>
          <t>NO</t>
        </is>
      </c>
      <c r="V6" s="13" t="inlineStr">
        <is>
          <t>ARTs: 04,11,16</t>
        </is>
      </c>
    </row>
    <row r="7" ht="18" customHeight="1">
      <c r="A7" s="19" t="inlineStr">
        <is>
          <t>A04-L2</t>
        </is>
      </c>
      <c r="B7" s="19" t="inlineStr">
        <is>
          <t>AHU 1 outer door</t>
        </is>
      </c>
      <c r="C7" s="19" t="inlineStr">
        <is>
          <t>Tenant/Riser/AHU</t>
        </is>
      </c>
      <c r="D7" s="19" t="inlineStr">
        <is>
          <t>Nominal</t>
        </is>
      </c>
      <c r="E7" s="19" t="inlineStr">
        <is>
          <t>Double Leaf</t>
        </is>
      </c>
      <c r="F7" s="19" t="inlineStr">
        <is>
          <t>Unknown</t>
        </is>
      </c>
      <c r="G7" s="19" t="inlineStr">
        <is>
          <t>Paint</t>
        </is>
      </c>
      <c r="H7" s="19" t="inlineStr">
        <is>
          <t>Damaged</t>
        </is>
      </c>
      <c r="I7" s="19" t="inlineStr">
        <is>
          <t>Unknown</t>
        </is>
      </c>
      <c r="J7" s="19" t="inlineStr">
        <is>
          <t>None</t>
        </is>
      </c>
      <c r="K7" s="19" t="inlineStr">
        <is>
          <t>ART04, ART10, ART11, ART22</t>
        </is>
      </c>
      <c r="L7" s="19" t="inlineStr">
        <is>
          <t>High</t>
        </is>
      </c>
      <c r="M7" s="19" t="inlineStr">
        <is>
          <t>06/09/2026</t>
        </is>
      </c>
      <c r="N7" s="27" t="inlineStr">
        <is>
          <t>YES</t>
        </is>
      </c>
      <c r="O7" s="19" t="inlineStr">
        <is>
          <t>NO</t>
        </is>
      </c>
      <c r="P7" s="28" t="inlineStr">
        <is>
          <t>B10</t>
        </is>
      </c>
      <c r="Q7" s="19" t="n">
        <v>1</v>
      </c>
      <c r="R7" s="19" t="inlineStr">
        <is>
          <t>NO</t>
        </is>
      </c>
      <c r="S7" s="19" t="inlineStr">
        <is>
          <t>NO</t>
        </is>
      </c>
      <c r="T7" s="19" t="inlineStr">
        <is>
          <t>NO</t>
        </is>
      </c>
      <c r="U7" s="19" t="inlineStr">
        <is>
          <t>NO</t>
        </is>
      </c>
      <c r="V7" s="19" t="inlineStr">
        <is>
          <t>ARTs: 04,10,11,22</t>
        </is>
      </c>
    </row>
    <row r="8" ht="18" customHeight="1">
      <c r="A8" s="13" t="inlineStr">
        <is>
          <t>A05-L2</t>
        </is>
      </c>
      <c r="B8" s="13" t="inlineStr">
        <is>
          <t>AHU 2 outer door</t>
        </is>
      </c>
      <c r="C8" s="13" t="inlineStr">
        <is>
          <t>Tenant/Riser/AHU</t>
        </is>
      </c>
      <c r="D8" s="13" t="inlineStr">
        <is>
          <t>FD30</t>
        </is>
      </c>
      <c r="E8" s="13" t="inlineStr">
        <is>
          <t>Double Leaf</t>
        </is>
      </c>
      <c r="F8" s="13" t="inlineStr">
        <is>
          <t>Unknown</t>
        </is>
      </c>
      <c r="G8" s="13" t="inlineStr">
        <is>
          <t>Paint</t>
        </is>
      </c>
      <c r="H8" s="13" t="inlineStr">
        <is>
          <t>Checked</t>
        </is>
      </c>
      <c r="I8" s="13" t="inlineStr">
        <is>
          <t>Unknown</t>
        </is>
      </c>
      <c r="J8" s="13" t="inlineStr">
        <is>
          <t>None</t>
        </is>
      </c>
      <c r="K8" s="13" t="inlineStr">
        <is>
          <t>ART04, ART10</t>
        </is>
      </c>
      <c r="L8" s="13" t="inlineStr">
        <is>
          <t>High</t>
        </is>
      </c>
      <c r="M8" s="13" t="inlineStr">
        <is>
          <t>06/09/2026</t>
        </is>
      </c>
      <c r="N8" s="27" t="inlineStr">
        <is>
          <t>YES</t>
        </is>
      </c>
      <c r="O8" s="13" t="inlineStr">
        <is>
          <t>NO</t>
        </is>
      </c>
      <c r="P8" s="28" t="inlineStr">
        <is>
          <t>B10</t>
        </is>
      </c>
      <c r="Q8" s="13" t="n">
        <v>1</v>
      </c>
      <c r="R8" s="13" t="inlineStr">
        <is>
          <t>NO</t>
        </is>
      </c>
      <c r="S8" s="29" t="inlineStr">
        <is>
          <t>NO</t>
        </is>
      </c>
      <c r="T8" s="13" t="inlineStr">
        <is>
          <t>NO</t>
        </is>
      </c>
      <c r="U8" s="13" t="inlineStr">
        <is>
          <t>NO</t>
        </is>
      </c>
      <c r="V8" s="13" t="inlineStr">
        <is>
          <t>ARTs: 04,10</t>
        </is>
      </c>
    </row>
    <row r="9" ht="18" customHeight="1">
      <c r="A9" s="19" t="inlineStr">
        <is>
          <t>A06-L2</t>
        </is>
      </c>
      <c r="B9" s="19" t="inlineStr">
        <is>
          <t>AHU 2 inner door</t>
        </is>
      </c>
      <c r="C9" s="19" t="inlineStr">
        <is>
          <t>Tenant/Riser/AHU</t>
        </is>
      </c>
      <c r="D9" s="19" t="inlineStr">
        <is>
          <t>FD60</t>
        </is>
      </c>
      <c r="E9" s="19" t="inlineStr">
        <is>
          <t>Single Leaf</t>
        </is>
      </c>
      <c r="F9" s="19" t="inlineStr">
        <is>
          <t>Unknown</t>
        </is>
      </c>
      <c r="G9" s="19" t="inlineStr">
        <is>
          <t>Paint</t>
        </is>
      </c>
      <c r="H9" s="19" t="inlineStr">
        <is>
          <t>Checked</t>
        </is>
      </c>
      <c r="I9" s="19" t="inlineStr">
        <is>
          <t>Unknown</t>
        </is>
      </c>
      <c r="J9" s="19" t="inlineStr">
        <is>
          <t>None</t>
        </is>
      </c>
      <c r="K9" s="19" t="inlineStr">
        <is>
          <t>ART04, ART13</t>
        </is>
      </c>
      <c r="L9" s="19" t="inlineStr">
        <is>
          <t>High</t>
        </is>
      </c>
      <c r="M9" s="19" t="inlineStr">
        <is>
          <t>06/09/2026</t>
        </is>
      </c>
      <c r="N9" s="19" t="inlineStr">
        <is>
          <t>YES</t>
        </is>
      </c>
      <c r="O9" s="27" t="inlineStr">
        <is>
          <t>NO</t>
        </is>
      </c>
      <c r="P9" s="28" t="inlineStr">
        <is>
          <t>B10</t>
        </is>
      </c>
      <c r="Q9" s="19" t="n">
        <v>1</v>
      </c>
      <c r="R9" s="19" t="inlineStr">
        <is>
          <t>NO</t>
        </is>
      </c>
      <c r="S9" s="19" t="inlineStr">
        <is>
          <t>NO</t>
        </is>
      </c>
      <c r="T9" s="19" t="inlineStr">
        <is>
          <t>NO</t>
        </is>
      </c>
      <c r="U9" s="19" t="inlineStr">
        <is>
          <t>NO</t>
        </is>
      </c>
      <c r="V9" s="30" t="inlineStr">
        <is>
          <t>ARTs: 04,13</t>
        </is>
      </c>
    </row>
    <row r="10" ht="18" customHeight="1">
      <c r="A10" s="13" t="inlineStr">
        <is>
          <t>A07-L2</t>
        </is>
      </c>
      <c r="B10" s="13" t="inlineStr">
        <is>
          <t>AHU 2 DB riser</t>
        </is>
      </c>
      <c r="C10" s="13" t="inlineStr">
        <is>
          <t>Tenant/Riser/AHU</t>
        </is>
      </c>
      <c r="D10" s="13" t="inlineStr">
        <is>
          <t>Nominal</t>
        </is>
      </c>
      <c r="E10" s="13" t="inlineStr">
        <is>
          <t>Single Leaf</t>
        </is>
      </c>
      <c r="F10" s="13" t="inlineStr">
        <is>
          <t>Unknown</t>
        </is>
      </c>
      <c r="G10" s="13" t="inlineStr">
        <is>
          <t>Paint</t>
        </is>
      </c>
      <c r="H10" s="13" t="inlineStr">
        <is>
          <t>Checked</t>
        </is>
      </c>
      <c r="I10" s="13" t="inlineStr">
        <is>
          <t>Unknown</t>
        </is>
      </c>
      <c r="J10" s="13" t="inlineStr">
        <is>
          <t>None</t>
        </is>
      </c>
      <c r="K10" s="13" t="inlineStr">
        <is>
          <t>ART02, ART16, ART19</t>
        </is>
      </c>
      <c r="L10" s="13" t="inlineStr">
        <is>
          <t>High</t>
        </is>
      </c>
      <c r="M10" s="13" t="inlineStr">
        <is>
          <t>06/09/2026</t>
        </is>
      </c>
      <c r="N10" s="13" t="inlineStr">
        <is>
          <t>YES</t>
        </is>
      </c>
      <c r="O10" s="27" t="inlineStr">
        <is>
          <t>NO</t>
        </is>
      </c>
      <c r="P10" s="28" t="inlineStr">
        <is>
          <t>B12</t>
        </is>
      </c>
      <c r="Q10" s="13" t="n">
        <v>1</v>
      </c>
      <c r="R10" s="13" t="inlineStr">
        <is>
          <t>NO</t>
        </is>
      </c>
      <c r="S10" s="13" t="inlineStr">
        <is>
          <t>NO</t>
        </is>
      </c>
      <c r="T10" s="13" t="inlineStr">
        <is>
          <t>NO</t>
        </is>
      </c>
      <c r="U10" s="13" t="inlineStr">
        <is>
          <t>NO</t>
        </is>
      </c>
      <c r="V10" s="30" t="inlineStr">
        <is>
          <t>ARTs: 02,16,19</t>
        </is>
      </c>
    </row>
    <row r="11" ht="18" customHeight="1">
      <c r="A11" s="19" t="inlineStr">
        <is>
          <t>A08-L2</t>
        </is>
      </c>
      <c r="B11" s="19" t="inlineStr">
        <is>
          <t>AHU 2 riser</t>
        </is>
      </c>
      <c r="C11" s="19" t="inlineStr">
        <is>
          <t>Tenant/Riser/AHU</t>
        </is>
      </c>
      <c r="D11" s="19" t="inlineStr">
        <is>
          <t>FD30</t>
        </is>
      </c>
      <c r="E11" s="19" t="inlineStr">
        <is>
          <t>Single Leaf</t>
        </is>
      </c>
      <c r="F11" s="19" t="inlineStr">
        <is>
          <t>Unknown</t>
        </is>
      </c>
      <c r="G11" s="19" t="inlineStr">
        <is>
          <t>Paint</t>
        </is>
      </c>
      <c r="H11" s="19" t="inlineStr">
        <is>
          <t>Checked</t>
        </is>
      </c>
      <c r="I11" s="19" t="inlineStr">
        <is>
          <t>Unknown</t>
        </is>
      </c>
      <c r="J11" s="19" t="inlineStr">
        <is>
          <t>None</t>
        </is>
      </c>
      <c r="K11" s="19" t="inlineStr">
        <is>
          <t>ART02, ART04, ART16, ART19</t>
        </is>
      </c>
      <c r="L11" s="19" t="inlineStr">
        <is>
          <t>High</t>
        </is>
      </c>
      <c r="M11" s="19" t="inlineStr">
        <is>
          <t>06/09/2026</t>
        </is>
      </c>
      <c r="N11" s="27" t="inlineStr">
        <is>
          <t>YES</t>
        </is>
      </c>
      <c r="O11" s="19" t="inlineStr">
        <is>
          <t>NO</t>
        </is>
      </c>
      <c r="P11" s="28" t="inlineStr">
        <is>
          <t>B12</t>
        </is>
      </c>
      <c r="Q11" s="19" t="n">
        <v>1</v>
      </c>
      <c r="R11" s="19" t="inlineStr">
        <is>
          <t>NO</t>
        </is>
      </c>
      <c r="S11" s="19" t="inlineStr">
        <is>
          <t>NO</t>
        </is>
      </c>
      <c r="T11" s="19" t="inlineStr">
        <is>
          <t>NO</t>
        </is>
      </c>
      <c r="U11" s="19" t="inlineStr">
        <is>
          <t>NO</t>
        </is>
      </c>
      <c r="V11" s="19" t="inlineStr">
        <is>
          <t>ARTs: 02,04,16,19</t>
        </is>
      </c>
    </row>
    <row r="12">
      <c r="A12" t="inlineStr">
        <is>
          <t>A09-L2</t>
        </is>
      </c>
      <c r="B12" t="inlineStr">
        <is>
          <t>Core 3 tenant door</t>
        </is>
      </c>
      <c r="C12" t="inlineStr">
        <is>
          <t>Tenant/Riser/AHU</t>
        </is>
      </c>
      <c r="D12" t="inlineStr">
        <is>
          <t>FD60</t>
        </is>
      </c>
      <c r="E12" t="inlineStr">
        <is>
          <t>Single Leaf</t>
        </is>
      </c>
      <c r="F12" t="inlineStr">
        <is>
          <t>Unknown</t>
        </is>
      </c>
      <c r="G12" t="inlineStr">
        <is>
          <t>Unknown</t>
        </is>
      </c>
      <c r="H12" t="inlineStr">
        <is>
          <t>Checked</t>
        </is>
      </c>
      <c r="I12" t="inlineStr">
        <is>
          <t>Unknown</t>
        </is>
      </c>
      <c r="J12" t="inlineStr">
        <is>
          <t>None</t>
        </is>
      </c>
      <c r="K12" t="inlineStr">
        <is>
          <t>ART02, ART04, ART13</t>
        </is>
      </c>
      <c r="L12" t="inlineStr">
        <is>
          <t>High</t>
        </is>
      </c>
      <c r="M12" t="inlineStr">
        <is>
          <t>06/09/2026</t>
        </is>
      </c>
      <c r="N12" t="inlineStr">
        <is>
          <t>YES</t>
        </is>
      </c>
      <c r="O12" t="inlineStr">
        <is>
          <t>NO</t>
        </is>
      </c>
      <c r="P12" t="inlineStr">
        <is>
          <t>B12</t>
        </is>
      </c>
      <c r="Q12" t="n">
        <v>1</v>
      </c>
      <c r="R12" t="inlineStr">
        <is>
          <t>NO</t>
        </is>
      </c>
      <c r="S12" t="inlineStr">
        <is>
          <t>NO</t>
        </is>
      </c>
      <c r="T12" t="inlineStr">
        <is>
          <t>NO</t>
        </is>
      </c>
      <c r="U12" t="inlineStr">
        <is>
          <t>NO</t>
        </is>
      </c>
      <c r="V12" t="inlineStr">
        <is>
          <t>ARTs: 02,04,13</t>
        </is>
      </c>
    </row>
    <row r="13">
      <c r="A13" s="87" t="inlineStr">
        <is>
          <t>A10-L2</t>
        </is>
      </c>
      <c r="B13" s="87" t="inlineStr">
        <is>
          <t>Core 3 red hub room MDF</t>
        </is>
      </c>
      <c r="C13" s="87" t="inlineStr">
        <is>
          <t>Tenant/Riser/AHU</t>
        </is>
      </c>
      <c r="D13" s="87" t="inlineStr">
        <is>
          <t>FD30</t>
        </is>
      </c>
      <c r="E13" s="87" t="inlineStr">
        <is>
          <t>Single Leaf</t>
        </is>
      </c>
      <c r="F13" s="87" t="inlineStr">
        <is>
          <t>Unknown</t>
        </is>
      </c>
      <c r="G13" s="87" t="inlineStr">
        <is>
          <t>Paint</t>
        </is>
      </c>
      <c r="H13" s="87" t="inlineStr">
        <is>
          <t>Checked</t>
        </is>
      </c>
      <c r="I13" s="87" t="inlineStr">
        <is>
          <t>Overhead Closer</t>
        </is>
      </c>
      <c r="J13" s="87" t="inlineStr">
        <is>
          <t>None</t>
        </is>
      </c>
      <c r="K13" s="87" t="inlineStr">
        <is>
          <t>Compliant</t>
        </is>
      </c>
      <c r="L13" s="87" t="inlineStr">
        <is>
          <t>N/A</t>
        </is>
      </c>
      <c r="M13" s="87" t="inlineStr">
        <is>
          <t>06/09/2026</t>
        </is>
      </c>
      <c r="N13" s="87" t="inlineStr">
        <is>
          <t>NO</t>
        </is>
      </c>
      <c r="O13" s="87" t="inlineStr">
        <is>
          <t>NO</t>
        </is>
      </c>
      <c r="P13" s="87" t="inlineStr"/>
      <c r="Q13" s="87" t="n">
        <v>1</v>
      </c>
      <c r="R13" s="87" t="inlineStr">
        <is>
          <t>NO</t>
        </is>
      </c>
      <c r="S13" s="87" t="inlineStr">
        <is>
          <t>NO</t>
        </is>
      </c>
      <c r="T13" s="87" t="inlineStr">
        <is>
          <t>NO</t>
        </is>
      </c>
      <c r="U13" s="87" t="inlineStr">
        <is>
          <t>NO</t>
        </is>
      </c>
      <c r="V13" s="87" t="inlineStr">
        <is>
          <t>No actions required</t>
        </is>
      </c>
    </row>
    <row r="14">
      <c r="A14" t="inlineStr">
        <is>
          <t>A11-L2</t>
        </is>
      </c>
      <c r="B14" t="inlineStr">
        <is>
          <t>Core 5 tenant door to WCs</t>
        </is>
      </c>
      <c r="C14" t="inlineStr">
        <is>
          <t>Tenant/Riser/AHU</t>
        </is>
      </c>
      <c r="D14" t="inlineStr">
        <is>
          <t>FD30</t>
        </is>
      </c>
      <c r="E14" t="inlineStr">
        <is>
          <t>Single Leaf</t>
        </is>
      </c>
      <c r="F14" t="inlineStr">
        <is>
          <t>Unknown</t>
        </is>
      </c>
      <c r="G14" t="inlineStr">
        <is>
          <t>Unknown</t>
        </is>
      </c>
      <c r="H14" t="inlineStr">
        <is>
          <t>Checked</t>
        </is>
      </c>
      <c r="I14" t="inlineStr">
        <is>
          <t>Overhead Closer</t>
        </is>
      </c>
      <c r="J14" t="inlineStr">
        <is>
          <t>Vision Panel</t>
        </is>
      </c>
      <c r="K14" t="inlineStr">
        <is>
          <t>ART13, ART19, ART22</t>
        </is>
      </c>
      <c r="L14" t="inlineStr">
        <is>
          <t>High</t>
        </is>
      </c>
      <c r="M14" t="inlineStr">
        <is>
          <t>06/09/2026</t>
        </is>
      </c>
      <c r="N14" t="inlineStr">
        <is>
          <t>YES</t>
        </is>
      </c>
      <c r="O14" t="inlineStr">
        <is>
          <t>NO</t>
        </is>
      </c>
      <c r="P14" t="inlineStr">
        <is>
          <t>B04</t>
        </is>
      </c>
      <c r="Q14" t="n">
        <v>1</v>
      </c>
      <c r="R14" t="inlineStr">
        <is>
          <t>NO</t>
        </is>
      </c>
      <c r="S14" t="inlineStr">
        <is>
          <t>NO</t>
        </is>
      </c>
      <c r="T14" t="inlineStr">
        <is>
          <t>NO</t>
        </is>
      </c>
      <c r="U14" t="inlineStr">
        <is>
          <t>YES</t>
        </is>
      </c>
      <c r="V14" t="inlineStr">
        <is>
          <t>ARTs: 13,19,22</t>
        </is>
      </c>
    </row>
    <row r="15">
      <c r="A15" t="inlineStr">
        <is>
          <t>A12-L2</t>
        </is>
      </c>
      <c r="B15" t="inlineStr">
        <is>
          <t>Core 5 tenant door to stairs</t>
        </is>
      </c>
      <c r="C15" t="inlineStr">
        <is>
          <t>Tenant/Riser/AHU</t>
        </is>
      </c>
      <c r="D15" t="inlineStr">
        <is>
          <t>FD30</t>
        </is>
      </c>
      <c r="E15" t="inlineStr">
        <is>
          <t>Single Leaf</t>
        </is>
      </c>
      <c r="F15" t="inlineStr">
        <is>
          <t>Unknown</t>
        </is>
      </c>
      <c r="G15" t="inlineStr">
        <is>
          <t>Unknown</t>
        </is>
      </c>
      <c r="H15" t="inlineStr">
        <is>
          <t>Checked</t>
        </is>
      </c>
      <c r="I15" t="inlineStr">
        <is>
          <t>Overhead Closer</t>
        </is>
      </c>
      <c r="J15" t="inlineStr">
        <is>
          <t>Vision Panel</t>
        </is>
      </c>
      <c r="K15" t="inlineStr">
        <is>
          <t>ART02, ART10, ART19</t>
        </is>
      </c>
      <c r="L15" t="inlineStr">
        <is>
          <t>High</t>
        </is>
      </c>
      <c r="M15" t="inlineStr">
        <is>
          <t>06/09/2026</t>
        </is>
      </c>
      <c r="N15" t="inlineStr">
        <is>
          <t>YES</t>
        </is>
      </c>
      <c r="O15" t="inlineStr">
        <is>
          <t>NO</t>
        </is>
      </c>
      <c r="P15" t="inlineStr">
        <is>
          <t>B12</t>
        </is>
      </c>
      <c r="Q15" t="n">
        <v>1</v>
      </c>
      <c r="R15" t="inlineStr">
        <is>
          <t>NO</t>
        </is>
      </c>
      <c r="S15" t="inlineStr">
        <is>
          <t>NO</t>
        </is>
      </c>
      <c r="T15" t="inlineStr">
        <is>
          <t>NO</t>
        </is>
      </c>
      <c r="U15" t="inlineStr">
        <is>
          <t>YES</t>
        </is>
      </c>
      <c r="V15" t="inlineStr">
        <is>
          <t>ARTs: 02,10,19</t>
        </is>
      </c>
    </row>
    <row r="16">
      <c r="A16" t="inlineStr">
        <is>
          <t>A13-L2</t>
        </is>
      </c>
      <c r="B16" t="inlineStr">
        <is>
          <t>Core 4 tenant DB riser</t>
        </is>
      </c>
      <c r="C16" t="inlineStr">
        <is>
          <t>Tenant/Riser/AHU</t>
        </is>
      </c>
      <c r="D16" t="inlineStr">
        <is>
          <t>FD30</t>
        </is>
      </c>
      <c r="E16" t="inlineStr">
        <is>
          <t>Single Leaf</t>
        </is>
      </c>
      <c r="F16" t="inlineStr">
        <is>
          <t>Unknown</t>
        </is>
      </c>
      <c r="G16" t="inlineStr">
        <is>
          <t>Paint</t>
        </is>
      </c>
      <c r="H16" t="inlineStr">
        <is>
          <t>Checked</t>
        </is>
      </c>
      <c r="I16" t="inlineStr">
        <is>
          <t>Unknown</t>
        </is>
      </c>
      <c r="J16" t="inlineStr">
        <is>
          <t>None</t>
        </is>
      </c>
      <c r="K16" t="inlineStr">
        <is>
          <t>ART04, ART13, ART19</t>
        </is>
      </c>
      <c r="L16" t="inlineStr">
        <is>
          <t>High</t>
        </is>
      </c>
      <c r="M16" t="inlineStr">
        <is>
          <t>06/09/2026</t>
        </is>
      </c>
      <c r="N16" t="inlineStr">
        <is>
          <t>YES</t>
        </is>
      </c>
      <c r="O16" t="inlineStr">
        <is>
          <t>NO</t>
        </is>
      </c>
      <c r="P16" t="inlineStr">
        <is>
          <t>B10</t>
        </is>
      </c>
      <c r="Q16" t="n">
        <v>1</v>
      </c>
      <c r="R16" t="inlineStr">
        <is>
          <t>NO</t>
        </is>
      </c>
      <c r="S16" t="inlineStr">
        <is>
          <t>NO</t>
        </is>
      </c>
      <c r="T16" t="inlineStr">
        <is>
          <t>NO</t>
        </is>
      </c>
      <c r="U16" t="inlineStr">
        <is>
          <t>NO</t>
        </is>
      </c>
      <c r="V16" t="inlineStr">
        <is>
          <t>ARTs: 04,13,19</t>
        </is>
      </c>
    </row>
    <row r="17">
      <c r="A17" t="inlineStr">
        <is>
          <t>A14-L2</t>
        </is>
      </c>
      <c r="B17" t="inlineStr">
        <is>
          <t>Core 4 tenant door</t>
        </is>
      </c>
      <c r="C17" t="inlineStr">
        <is>
          <t>Tenant/Riser/AHU</t>
        </is>
      </c>
      <c r="D17" t="inlineStr">
        <is>
          <t>FD60</t>
        </is>
      </c>
      <c r="E17" t="inlineStr">
        <is>
          <t>Single Leaf</t>
        </is>
      </c>
      <c r="F17" t="inlineStr">
        <is>
          <t>Unknown</t>
        </is>
      </c>
      <c r="G17" t="inlineStr">
        <is>
          <t>Unknown</t>
        </is>
      </c>
      <c r="H17" t="inlineStr">
        <is>
          <t>Checked</t>
        </is>
      </c>
      <c r="I17" t="inlineStr">
        <is>
          <t>Overhead Closer</t>
        </is>
      </c>
      <c r="J17" t="inlineStr">
        <is>
          <t>Vision Panel</t>
        </is>
      </c>
      <c r="K17" t="inlineStr">
        <is>
          <t>ART02</t>
        </is>
      </c>
      <c r="L17" t="inlineStr">
        <is>
          <t>High</t>
        </is>
      </c>
      <c r="M17" t="inlineStr">
        <is>
          <t>06/09/2026</t>
        </is>
      </c>
      <c r="N17" t="inlineStr">
        <is>
          <t>YES</t>
        </is>
      </c>
      <c r="O17" t="inlineStr">
        <is>
          <t>NO</t>
        </is>
      </c>
      <c r="P17" t="inlineStr">
        <is>
          <t>B12</t>
        </is>
      </c>
      <c r="Q17" t="n">
        <v>1</v>
      </c>
      <c r="R17" t="inlineStr">
        <is>
          <t>NO</t>
        </is>
      </c>
      <c r="S17" t="inlineStr">
        <is>
          <t>NO</t>
        </is>
      </c>
      <c r="T17" t="inlineStr">
        <is>
          <t>NO</t>
        </is>
      </c>
      <c r="U17" t="inlineStr">
        <is>
          <t>YES</t>
        </is>
      </c>
      <c r="V17" t="inlineStr">
        <is>
          <t>ARTs: 02</t>
        </is>
      </c>
    </row>
    <row r="18">
      <c r="A18" t="inlineStr">
        <is>
          <t>A15-L2</t>
        </is>
      </c>
      <c r="B18" t="inlineStr">
        <is>
          <t>Core 2 orange hub room IDF</t>
        </is>
      </c>
      <c r="C18" t="inlineStr">
        <is>
          <t>Tenant/Riser/AHU</t>
        </is>
      </c>
      <c r="D18" t="inlineStr">
        <is>
          <t>FD30</t>
        </is>
      </c>
      <c r="E18" t="inlineStr">
        <is>
          <t>Single Leaf</t>
        </is>
      </c>
      <c r="F18" t="inlineStr">
        <is>
          <t>Unknown</t>
        </is>
      </c>
      <c r="G18" t="inlineStr">
        <is>
          <t>Paint</t>
        </is>
      </c>
      <c r="H18" t="inlineStr">
        <is>
          <t>Damaged</t>
        </is>
      </c>
      <c r="I18" t="inlineStr">
        <is>
          <t>Overhead Closer</t>
        </is>
      </c>
      <c r="J18" t="inlineStr">
        <is>
          <t>None</t>
        </is>
      </c>
      <c r="K18" t="inlineStr">
        <is>
          <t>ART04, ART10</t>
        </is>
      </c>
      <c r="L18" t="inlineStr">
        <is>
          <t>High</t>
        </is>
      </c>
      <c r="M18" t="inlineStr">
        <is>
          <t>06/09/2026</t>
        </is>
      </c>
      <c r="N18" t="inlineStr">
        <is>
          <t>YES</t>
        </is>
      </c>
      <c r="O18" t="inlineStr">
        <is>
          <t>NO</t>
        </is>
      </c>
      <c r="P18" t="inlineStr">
        <is>
          <t>B10</t>
        </is>
      </c>
      <c r="Q18" t="n">
        <v>1</v>
      </c>
      <c r="R18" t="inlineStr">
        <is>
          <t>NO</t>
        </is>
      </c>
      <c r="S18" t="inlineStr">
        <is>
          <t>NO</t>
        </is>
      </c>
      <c r="T18" t="inlineStr">
        <is>
          <t>NO</t>
        </is>
      </c>
      <c r="U18" t="inlineStr">
        <is>
          <t>NO</t>
        </is>
      </c>
      <c r="V18" t="inlineStr">
        <is>
          <t>ARTs: 04,10</t>
        </is>
      </c>
    </row>
    <row r="19">
      <c r="A19" t="inlineStr">
        <is>
          <t>A16-L2</t>
        </is>
      </c>
      <c r="B19" t="inlineStr">
        <is>
          <t>Core 2 tenant door</t>
        </is>
      </c>
      <c r="C19" t="inlineStr">
        <is>
          <t>Tenant/Riser/AHU</t>
        </is>
      </c>
      <c r="D19" t="inlineStr">
        <is>
          <t>FD60</t>
        </is>
      </c>
      <c r="E19" t="inlineStr">
        <is>
          <t>Single Leaf</t>
        </is>
      </c>
      <c r="F19" t="inlineStr">
        <is>
          <t>Unknown</t>
        </is>
      </c>
      <c r="G19" t="inlineStr">
        <is>
          <t>Unknown</t>
        </is>
      </c>
      <c r="H19" t="inlineStr">
        <is>
          <t>Damaged</t>
        </is>
      </c>
      <c r="I19" t="inlineStr">
        <is>
          <t>Overhead Closer</t>
        </is>
      </c>
      <c r="J19" t="inlineStr">
        <is>
          <t>Vision Panel</t>
        </is>
      </c>
      <c r="K19" t="inlineStr">
        <is>
          <t>ART02, ART10</t>
        </is>
      </c>
      <c r="L19" t="inlineStr">
        <is>
          <t>High</t>
        </is>
      </c>
      <c r="M19" t="inlineStr">
        <is>
          <t>06/09/2026</t>
        </is>
      </c>
      <c r="N19" t="inlineStr">
        <is>
          <t>YES</t>
        </is>
      </c>
      <c r="O19" t="inlineStr">
        <is>
          <t>NO</t>
        </is>
      </c>
      <c r="P19" t="inlineStr">
        <is>
          <t>B12</t>
        </is>
      </c>
      <c r="Q19" t="n">
        <v>1</v>
      </c>
      <c r="R19" t="inlineStr">
        <is>
          <t>NO</t>
        </is>
      </c>
      <c r="S19" t="inlineStr">
        <is>
          <t>NO</t>
        </is>
      </c>
      <c r="T19" t="inlineStr">
        <is>
          <t>NO</t>
        </is>
      </c>
      <c r="U19" t="inlineStr">
        <is>
          <t>YES</t>
        </is>
      </c>
      <c r="V19" t="inlineStr">
        <is>
          <t>ARTs: 02,10</t>
        </is>
      </c>
    </row>
    <row r="20">
      <c r="A20" t="inlineStr">
        <is>
          <t>A17-L2</t>
        </is>
      </c>
      <c r="B20" t="inlineStr">
        <is>
          <t>Core 2 metron panel cupboard</t>
        </is>
      </c>
      <c r="C20" t="inlineStr">
        <is>
          <t>Tenant/Riser/AHU</t>
        </is>
      </c>
      <c r="D20" t="inlineStr">
        <is>
          <t>FD30</t>
        </is>
      </c>
      <c r="E20" t="inlineStr">
        <is>
          <t>Single Leaf</t>
        </is>
      </c>
      <c r="F20" t="inlineStr">
        <is>
          <t>Unknown</t>
        </is>
      </c>
      <c r="G20" t="inlineStr">
        <is>
          <t>Paint</t>
        </is>
      </c>
      <c r="H20" t="inlineStr">
        <is>
          <t>Checked</t>
        </is>
      </c>
      <c r="I20" t="inlineStr">
        <is>
          <t>Unknown</t>
        </is>
      </c>
      <c r="J20" t="inlineStr">
        <is>
          <t>None</t>
        </is>
      </c>
      <c r="K20" t="inlineStr">
        <is>
          <t>ART10</t>
        </is>
      </c>
      <c r="L20" t="inlineStr">
        <is>
          <t>High</t>
        </is>
      </c>
      <c r="M20" t="inlineStr">
        <is>
          <t>06/09/2026</t>
        </is>
      </c>
      <c r="N20" t="inlineStr">
        <is>
          <t>YES</t>
        </is>
      </c>
      <c r="O20" t="inlineStr">
        <is>
          <t>NO</t>
        </is>
      </c>
      <c r="P20" t="inlineStr">
        <is>
          <t>B05</t>
        </is>
      </c>
      <c r="Q20" t="n">
        <v>1</v>
      </c>
      <c r="R20" t="inlineStr">
        <is>
          <t>NO</t>
        </is>
      </c>
      <c r="S20" t="inlineStr">
        <is>
          <t>NO</t>
        </is>
      </c>
      <c r="T20" t="inlineStr">
        <is>
          <t>NO</t>
        </is>
      </c>
      <c r="U20" t="inlineStr">
        <is>
          <t>NO</t>
        </is>
      </c>
      <c r="V20" t="inlineStr">
        <is>
          <t>ARTs: 10</t>
        </is>
      </c>
    </row>
    <row r="21">
      <c r="A21" t="inlineStr">
        <is>
          <t>A01-L3</t>
        </is>
      </c>
      <c r="B21" t="inlineStr">
        <is>
          <t>Core 1 CHW pump cupboard</t>
        </is>
      </c>
      <c r="C21" t="inlineStr">
        <is>
          <t>Tenant/Riser/AHU</t>
        </is>
      </c>
      <c r="D21" t="inlineStr">
        <is>
          <t>Nominal</t>
        </is>
      </c>
      <c r="E21" t="inlineStr">
        <is>
          <t>Double Leaf</t>
        </is>
      </c>
      <c r="F21" t="inlineStr">
        <is>
          <t>Unknown</t>
        </is>
      </c>
      <c r="G21" t="inlineStr">
        <is>
          <t>Paint</t>
        </is>
      </c>
      <c r="H21" t="inlineStr">
        <is>
          <t>Damaged</t>
        </is>
      </c>
      <c r="I21" t="inlineStr">
        <is>
          <t>Unknown</t>
        </is>
      </c>
      <c r="J21" t="inlineStr">
        <is>
          <t>None</t>
        </is>
      </c>
      <c r="K21" t="inlineStr">
        <is>
          <t>ART04, ART16, ART21, ART22</t>
        </is>
      </c>
      <c r="L21" t="inlineStr">
        <is>
          <t>High</t>
        </is>
      </c>
      <c r="M21" t="inlineStr">
        <is>
          <t>06/09/2026</t>
        </is>
      </c>
      <c r="N21" t="inlineStr">
        <is>
          <t>YES</t>
        </is>
      </c>
      <c r="O21" t="inlineStr">
        <is>
          <t>NO</t>
        </is>
      </c>
      <c r="P21" t="inlineStr">
        <is>
          <t>B10</t>
        </is>
      </c>
      <c r="Q21" t="n">
        <v>1</v>
      </c>
      <c r="R21" t="inlineStr">
        <is>
          <t>NO</t>
        </is>
      </c>
      <c r="S21" t="inlineStr">
        <is>
          <t>NO</t>
        </is>
      </c>
      <c r="T21" t="inlineStr">
        <is>
          <t>NO</t>
        </is>
      </c>
      <c r="U21" t="inlineStr">
        <is>
          <t>NO</t>
        </is>
      </c>
      <c r="V21" t="inlineStr">
        <is>
          <t>ARTs: 04,16,21,22</t>
        </is>
      </c>
    </row>
    <row r="22">
      <c r="A22" t="inlineStr">
        <is>
          <t>A02-L3</t>
        </is>
      </c>
      <c r="B22" t="inlineStr">
        <is>
          <t>Core 1 riser in store LHS</t>
        </is>
      </c>
      <c r="C22" t="inlineStr">
        <is>
          <t>Tenant/Riser/AHU</t>
        </is>
      </c>
      <c r="D22" t="inlineStr">
        <is>
          <t>FD30</t>
        </is>
      </c>
      <c r="E22" t="inlineStr">
        <is>
          <t>Single Leaf</t>
        </is>
      </c>
      <c r="F22" t="inlineStr">
        <is>
          <t>Unknown</t>
        </is>
      </c>
      <c r="G22" t="inlineStr">
        <is>
          <t>Paint</t>
        </is>
      </c>
      <c r="H22" t="inlineStr">
        <is>
          <t>Missing</t>
        </is>
      </c>
      <c r="I22" t="inlineStr">
        <is>
          <t>Unknown</t>
        </is>
      </c>
      <c r="J22" t="inlineStr">
        <is>
          <t>None</t>
        </is>
      </c>
      <c r="K22" t="inlineStr">
        <is>
          <t>ART11, ART13</t>
        </is>
      </c>
      <c r="L22" t="inlineStr">
        <is>
          <t>High</t>
        </is>
      </c>
      <c r="M22" t="inlineStr">
        <is>
          <t>06/09/2026</t>
        </is>
      </c>
      <c r="N22" t="inlineStr">
        <is>
          <t>YES</t>
        </is>
      </c>
      <c r="O22" t="inlineStr">
        <is>
          <t>NO</t>
        </is>
      </c>
      <c r="P22" t="inlineStr">
        <is>
          <t>B01</t>
        </is>
      </c>
      <c r="Q22" t="n">
        <v>1</v>
      </c>
      <c r="R22" t="inlineStr">
        <is>
          <t>NO</t>
        </is>
      </c>
      <c r="S22" t="inlineStr">
        <is>
          <t>NO</t>
        </is>
      </c>
      <c r="T22" t="inlineStr">
        <is>
          <t>NO</t>
        </is>
      </c>
      <c r="U22" t="inlineStr">
        <is>
          <t>NO</t>
        </is>
      </c>
      <c r="V22" t="inlineStr">
        <is>
          <t>ARTs: 11,13</t>
        </is>
      </c>
    </row>
    <row r="23">
      <c r="A23" t="inlineStr">
        <is>
          <t>A03-L3</t>
        </is>
      </c>
      <c r="B23" t="inlineStr">
        <is>
          <t>Core 1 riser in store RHS</t>
        </is>
      </c>
      <c r="C23" t="inlineStr">
        <is>
          <t>Tenant/Riser/AHU</t>
        </is>
      </c>
      <c r="D23" t="inlineStr">
        <is>
          <t>Nominal</t>
        </is>
      </c>
      <c r="E23" t="inlineStr">
        <is>
          <t>Single Leaf</t>
        </is>
      </c>
      <c r="F23" t="inlineStr">
        <is>
          <t>Unknown</t>
        </is>
      </c>
      <c r="G23" t="inlineStr">
        <is>
          <t>Paint</t>
        </is>
      </c>
      <c r="H23" t="inlineStr">
        <is>
          <t>Checked</t>
        </is>
      </c>
      <c r="I23" t="inlineStr">
        <is>
          <t>Unknown</t>
        </is>
      </c>
      <c r="J23" t="inlineStr">
        <is>
          <t>None</t>
        </is>
      </c>
      <c r="K23" t="inlineStr">
        <is>
          <t>ART04, ART16, ART21</t>
        </is>
      </c>
      <c r="L23" t="inlineStr">
        <is>
          <t>High</t>
        </is>
      </c>
      <c r="M23" t="inlineStr">
        <is>
          <t>06/09/2026</t>
        </is>
      </c>
      <c r="N23" t="inlineStr">
        <is>
          <t>YES</t>
        </is>
      </c>
      <c r="O23" t="inlineStr">
        <is>
          <t>NO</t>
        </is>
      </c>
      <c r="P23" t="inlineStr">
        <is>
          <t>B10</t>
        </is>
      </c>
      <c r="Q23" t="n">
        <v>1</v>
      </c>
      <c r="R23" t="inlineStr">
        <is>
          <t>NO</t>
        </is>
      </c>
      <c r="S23" t="inlineStr">
        <is>
          <t>NO</t>
        </is>
      </c>
      <c r="T23" t="inlineStr">
        <is>
          <t>NO</t>
        </is>
      </c>
      <c r="U23" t="inlineStr">
        <is>
          <t>NO</t>
        </is>
      </c>
      <c r="V23" t="inlineStr">
        <is>
          <t>ARTs: 04,16,21</t>
        </is>
      </c>
    </row>
    <row r="24">
      <c r="A24" s="87" t="inlineStr">
        <is>
          <t>A04-L3</t>
        </is>
      </c>
      <c r="B24" s="87" t="inlineStr">
        <is>
          <t>Core 1 tenant door</t>
        </is>
      </c>
      <c r="C24" s="87" t="inlineStr">
        <is>
          <t>Tenant/Riser/AHU</t>
        </is>
      </c>
      <c r="D24" s="87" t="inlineStr">
        <is>
          <t>Nominal</t>
        </is>
      </c>
      <c r="E24" s="87" t="inlineStr">
        <is>
          <t>Single Leaf</t>
        </is>
      </c>
      <c r="F24" s="87" t="inlineStr">
        <is>
          <t>Unknown</t>
        </is>
      </c>
      <c r="G24" s="87" t="inlineStr">
        <is>
          <t>Unknown</t>
        </is>
      </c>
      <c r="H24" s="87" t="inlineStr">
        <is>
          <t>Checked</t>
        </is>
      </c>
      <c r="I24" s="87" t="inlineStr">
        <is>
          <t>Overhead Closer</t>
        </is>
      </c>
      <c r="J24" s="87" t="inlineStr">
        <is>
          <t>Vision Panel</t>
        </is>
      </c>
      <c r="K24" s="87" t="inlineStr">
        <is>
          <t>Compliant</t>
        </is>
      </c>
      <c r="L24" s="87" t="inlineStr">
        <is>
          <t>N/A</t>
        </is>
      </c>
      <c r="M24" s="87" t="inlineStr">
        <is>
          <t>06/09/2026</t>
        </is>
      </c>
      <c r="N24" s="87" t="inlineStr">
        <is>
          <t>NO</t>
        </is>
      </c>
      <c r="O24" s="87" t="inlineStr">
        <is>
          <t>NO</t>
        </is>
      </c>
      <c r="P24" s="87" t="inlineStr"/>
      <c r="Q24" s="87" t="n">
        <v>1</v>
      </c>
      <c r="R24" s="87" t="inlineStr">
        <is>
          <t>NO</t>
        </is>
      </c>
      <c r="S24" s="87" t="inlineStr">
        <is>
          <t>NO</t>
        </is>
      </c>
      <c r="T24" s="87" t="inlineStr">
        <is>
          <t>NO</t>
        </is>
      </c>
      <c r="U24" s="87" t="inlineStr">
        <is>
          <t>YES</t>
        </is>
      </c>
      <c r="V24" s="87" t="inlineStr">
        <is>
          <t>No actions required</t>
        </is>
      </c>
    </row>
    <row r="25">
      <c r="A25" t="inlineStr">
        <is>
          <t>A05-L3</t>
        </is>
      </c>
      <c r="B25" t="inlineStr">
        <is>
          <t>Core 1 door to north area</t>
        </is>
      </c>
      <c r="C25" t="inlineStr">
        <is>
          <t>Tenant/Riser/AHU</t>
        </is>
      </c>
      <c r="D25" t="inlineStr">
        <is>
          <t>FD60</t>
        </is>
      </c>
      <c r="E25" t="inlineStr">
        <is>
          <t>Double Leaf</t>
        </is>
      </c>
      <c r="F25" t="inlineStr">
        <is>
          <t>Unknown</t>
        </is>
      </c>
      <c r="G25" t="inlineStr">
        <is>
          <t>Unknown</t>
        </is>
      </c>
      <c r="H25" t="inlineStr">
        <is>
          <t>Checked</t>
        </is>
      </c>
      <c r="I25" t="inlineStr">
        <is>
          <t>Unknown</t>
        </is>
      </c>
      <c r="J25" t="inlineStr">
        <is>
          <t>Vision Panel</t>
        </is>
      </c>
      <c r="K25" t="inlineStr">
        <is>
          <t>ART02, ART04, ART08, ART19, ART21</t>
        </is>
      </c>
      <c r="L25" t="inlineStr">
        <is>
          <t>High</t>
        </is>
      </c>
      <c r="M25" t="inlineStr">
        <is>
          <t>06/09/2026</t>
        </is>
      </c>
      <c r="N25" t="inlineStr">
        <is>
          <t>YES</t>
        </is>
      </c>
      <c r="O25" t="inlineStr">
        <is>
          <t>NO</t>
        </is>
      </c>
      <c r="P25" t="inlineStr">
        <is>
          <t>B12</t>
        </is>
      </c>
      <c r="Q25" t="n">
        <v>1</v>
      </c>
      <c r="R25" t="inlineStr">
        <is>
          <t>NO</t>
        </is>
      </c>
      <c r="S25" t="inlineStr">
        <is>
          <t>NO</t>
        </is>
      </c>
      <c r="T25" t="inlineStr">
        <is>
          <t>NO</t>
        </is>
      </c>
      <c r="U25" t="inlineStr">
        <is>
          <t>YES</t>
        </is>
      </c>
      <c r="V25" t="inlineStr">
        <is>
          <t>ARTs: 02,04,08,19,21</t>
        </is>
      </c>
    </row>
    <row r="26">
      <c r="A26" t="inlineStr">
        <is>
          <t>A06-L3</t>
        </is>
      </c>
      <c r="B26" t="inlineStr">
        <is>
          <t>Core 1 door to east area</t>
        </is>
      </c>
      <c r="C26" t="inlineStr">
        <is>
          <t>Tenant/Riser/AHU</t>
        </is>
      </c>
      <c r="D26" t="inlineStr">
        <is>
          <t>FD60</t>
        </is>
      </c>
      <c r="E26" t="inlineStr">
        <is>
          <t>Double Leaf</t>
        </is>
      </c>
      <c r="F26" t="inlineStr">
        <is>
          <t>Unknown</t>
        </is>
      </c>
      <c r="G26" t="inlineStr">
        <is>
          <t>Unknown</t>
        </is>
      </c>
      <c r="H26" t="inlineStr">
        <is>
          <t>Checked</t>
        </is>
      </c>
      <c r="I26" t="inlineStr">
        <is>
          <t>Unknown</t>
        </is>
      </c>
      <c r="J26" t="inlineStr">
        <is>
          <t>Vision Panel</t>
        </is>
      </c>
      <c r="K26" t="inlineStr">
        <is>
          <t>ART01, ART04, ART19, ART21</t>
        </is>
      </c>
      <c r="L26" t="inlineStr">
        <is>
          <t>High</t>
        </is>
      </c>
      <c r="M26" t="inlineStr">
        <is>
          <t>06/09/2026</t>
        </is>
      </c>
      <c r="N26" t="inlineStr">
        <is>
          <t>YES</t>
        </is>
      </c>
      <c r="O26" t="inlineStr">
        <is>
          <t>NO</t>
        </is>
      </c>
      <c r="P26" t="inlineStr">
        <is>
          <t>B11</t>
        </is>
      </c>
      <c r="Q26" t="n">
        <v>1</v>
      </c>
      <c r="R26" t="inlineStr">
        <is>
          <t>NO</t>
        </is>
      </c>
      <c r="S26" t="inlineStr">
        <is>
          <t>NO</t>
        </is>
      </c>
      <c r="T26" t="inlineStr">
        <is>
          <t>NO</t>
        </is>
      </c>
      <c r="U26" t="inlineStr">
        <is>
          <t>YES</t>
        </is>
      </c>
      <c r="V26" t="inlineStr">
        <is>
          <t>ARTs: 01,04,19,21</t>
        </is>
      </c>
    </row>
    <row r="27">
      <c r="A27" s="87" t="inlineStr">
        <is>
          <t>A07-L3</t>
        </is>
      </c>
      <c r="B27" s="87" t="inlineStr">
        <is>
          <t>Room 03-Y riser</t>
        </is>
      </c>
      <c r="C27" s="87" t="inlineStr">
        <is>
          <t>Tenant/Riser/AHU</t>
        </is>
      </c>
      <c r="D27" s="87" t="inlineStr">
        <is>
          <t>FD30</t>
        </is>
      </c>
      <c r="E27" s="87" t="inlineStr">
        <is>
          <t>Single Leaf</t>
        </is>
      </c>
      <c r="F27" s="87" t="inlineStr">
        <is>
          <t>Unknown</t>
        </is>
      </c>
      <c r="G27" s="87" t="inlineStr">
        <is>
          <t>Paint</t>
        </is>
      </c>
      <c r="H27" s="87" t="inlineStr">
        <is>
          <t>Checked</t>
        </is>
      </c>
      <c r="I27" s="87" t="inlineStr">
        <is>
          <t>Unknown</t>
        </is>
      </c>
      <c r="J27" s="87" t="inlineStr">
        <is>
          <t>None</t>
        </is>
      </c>
      <c r="K27" s="87" t="inlineStr">
        <is>
          <t>Compliant</t>
        </is>
      </c>
      <c r="L27" s="87" t="inlineStr">
        <is>
          <t>N/A</t>
        </is>
      </c>
      <c r="M27" s="87" t="inlineStr">
        <is>
          <t>06/09/2026</t>
        </is>
      </c>
      <c r="N27" s="87" t="inlineStr">
        <is>
          <t>NO</t>
        </is>
      </c>
      <c r="O27" s="87" t="inlineStr">
        <is>
          <t>NO</t>
        </is>
      </c>
      <c r="P27" s="87" t="inlineStr"/>
      <c r="Q27" s="87" t="n">
        <v>1</v>
      </c>
      <c r="R27" s="87" t="inlineStr">
        <is>
          <t>NO</t>
        </is>
      </c>
      <c r="S27" s="87" t="inlineStr">
        <is>
          <t>NO</t>
        </is>
      </c>
      <c r="T27" s="87" t="inlineStr">
        <is>
          <t>NO</t>
        </is>
      </c>
      <c r="U27" s="87" t="inlineStr">
        <is>
          <t>NO</t>
        </is>
      </c>
      <c r="V27" s="87" t="inlineStr">
        <is>
          <t>No actions required</t>
        </is>
      </c>
    </row>
    <row r="28">
      <c r="A28" s="88" t="inlineStr">
        <is>
          <t>A08-L3</t>
        </is>
      </c>
      <c r="B28" s="88" t="inlineStr">
        <is>
          <t>Core 3 tenant CHW pump riser</t>
        </is>
      </c>
      <c r="C28" s="88" t="inlineStr">
        <is>
          <t>Tenant/Riser/AHU</t>
        </is>
      </c>
      <c r="D28" s="88" t="inlineStr">
        <is>
          <t>FD30</t>
        </is>
      </c>
      <c r="E28" s="88" t="inlineStr">
        <is>
          <t>Single Leaf</t>
        </is>
      </c>
      <c r="F28" s="88" t="inlineStr">
        <is>
          <t>Unknown</t>
        </is>
      </c>
      <c r="G28" s="88" t="inlineStr">
        <is>
          <t>Paint</t>
        </is>
      </c>
      <c r="H28" s="88" t="inlineStr">
        <is>
          <t>Checked</t>
        </is>
      </c>
      <c r="I28" s="88" t="inlineStr">
        <is>
          <t>Unknown</t>
        </is>
      </c>
      <c r="J28" s="88" t="inlineStr">
        <is>
          <t>None</t>
        </is>
      </c>
      <c r="K28" s="88" t="inlineStr">
        <is>
          <t>ART13</t>
        </is>
      </c>
      <c r="L28" s="88" t="inlineStr">
        <is>
          <t>Moderate</t>
        </is>
      </c>
      <c r="M28" s="88" t="inlineStr">
        <is>
          <t>06/09/2026</t>
        </is>
      </c>
      <c r="N28" s="88" t="inlineStr">
        <is>
          <t>YES</t>
        </is>
      </c>
      <c r="O28" s="88" t="inlineStr">
        <is>
          <t>NO</t>
        </is>
      </c>
      <c r="P28" s="88" t="inlineStr">
        <is>
          <t>B04</t>
        </is>
      </c>
      <c r="Q28" s="88" t="n">
        <v>1</v>
      </c>
      <c r="R28" s="88" t="inlineStr">
        <is>
          <t>NO</t>
        </is>
      </c>
      <c r="S28" s="88" t="inlineStr">
        <is>
          <t>NO</t>
        </is>
      </c>
      <c r="T28" s="88" t="inlineStr">
        <is>
          <t>NO</t>
        </is>
      </c>
      <c r="U28" s="88" t="inlineStr">
        <is>
          <t>NO</t>
        </is>
      </c>
      <c r="V28" s="88" t="inlineStr">
        <is>
          <t>ARTs: 13</t>
        </is>
      </c>
    </row>
    <row r="29">
      <c r="A29" s="87" t="inlineStr">
        <is>
          <t>A09-L3</t>
        </is>
      </c>
      <c r="B29" s="87" t="inlineStr">
        <is>
          <t>Core 3 tenant DB riser</t>
        </is>
      </c>
      <c r="C29" s="87" t="inlineStr">
        <is>
          <t>Tenant/Riser/AHU</t>
        </is>
      </c>
      <c r="D29" s="87" t="inlineStr">
        <is>
          <t>FD30</t>
        </is>
      </c>
      <c r="E29" s="87" t="inlineStr">
        <is>
          <t>Single Leaf</t>
        </is>
      </c>
      <c r="F29" s="87" t="inlineStr">
        <is>
          <t>Unknown</t>
        </is>
      </c>
      <c r="G29" s="87" t="inlineStr">
        <is>
          <t>Paint</t>
        </is>
      </c>
      <c r="H29" s="87" t="inlineStr">
        <is>
          <t>Checked</t>
        </is>
      </c>
      <c r="I29" s="87" t="inlineStr">
        <is>
          <t>Unknown</t>
        </is>
      </c>
      <c r="J29" s="87" t="inlineStr">
        <is>
          <t>None</t>
        </is>
      </c>
      <c r="K29" s="87" t="inlineStr">
        <is>
          <t>Compliant</t>
        </is>
      </c>
      <c r="L29" s="87" t="inlineStr">
        <is>
          <t>N/A</t>
        </is>
      </c>
      <c r="M29" s="87" t="inlineStr">
        <is>
          <t>06/09/2026</t>
        </is>
      </c>
      <c r="N29" s="87" t="inlineStr">
        <is>
          <t>NO</t>
        </is>
      </c>
      <c r="O29" s="87" t="inlineStr">
        <is>
          <t>NO</t>
        </is>
      </c>
      <c r="P29" s="87" t="inlineStr"/>
      <c r="Q29" s="87" t="n">
        <v>1</v>
      </c>
      <c r="R29" s="87" t="inlineStr">
        <is>
          <t>NO</t>
        </is>
      </c>
      <c r="S29" s="87" t="inlineStr">
        <is>
          <t>NO</t>
        </is>
      </c>
      <c r="T29" s="87" t="inlineStr">
        <is>
          <t>NO</t>
        </is>
      </c>
      <c r="U29" s="87" t="inlineStr">
        <is>
          <t>NO</t>
        </is>
      </c>
      <c r="V29" s="87" t="inlineStr">
        <is>
          <t>No actions required</t>
        </is>
      </c>
    </row>
    <row r="30">
      <c r="A30" s="87" t="inlineStr">
        <is>
          <t>A10-L3</t>
        </is>
      </c>
      <c r="B30" s="87" t="inlineStr">
        <is>
          <t>Core 3 tenant door</t>
        </is>
      </c>
      <c r="C30" s="87" t="inlineStr">
        <is>
          <t>Tenant/Riser/AHU</t>
        </is>
      </c>
      <c r="D30" s="87" t="inlineStr">
        <is>
          <t>FD30</t>
        </is>
      </c>
      <c r="E30" s="87" t="inlineStr">
        <is>
          <t>Single Leaf</t>
        </is>
      </c>
      <c r="F30" s="87" t="inlineStr">
        <is>
          <t>Unknown</t>
        </is>
      </c>
      <c r="G30" s="87" t="inlineStr">
        <is>
          <t>Unknown</t>
        </is>
      </c>
      <c r="H30" s="87" t="inlineStr">
        <is>
          <t>Checked</t>
        </is>
      </c>
      <c r="I30" s="87" t="inlineStr">
        <is>
          <t>Overhead Closer</t>
        </is>
      </c>
      <c r="J30" s="87" t="inlineStr">
        <is>
          <t>Vision Panel</t>
        </is>
      </c>
      <c r="K30" s="87" t="inlineStr">
        <is>
          <t>Compliant</t>
        </is>
      </c>
      <c r="L30" s="87" t="inlineStr">
        <is>
          <t>N/A</t>
        </is>
      </c>
      <c r="M30" s="87" t="inlineStr">
        <is>
          <t>06/09/2026</t>
        </is>
      </c>
      <c r="N30" s="87" t="inlineStr">
        <is>
          <t>NO</t>
        </is>
      </c>
      <c r="O30" s="87" t="inlineStr">
        <is>
          <t>NO</t>
        </is>
      </c>
      <c r="P30" s="87" t="inlineStr"/>
      <c r="Q30" s="87" t="n">
        <v>1</v>
      </c>
      <c r="R30" s="87" t="inlineStr">
        <is>
          <t>NO</t>
        </is>
      </c>
      <c r="S30" s="87" t="inlineStr">
        <is>
          <t>NO</t>
        </is>
      </c>
      <c r="T30" s="87" t="inlineStr">
        <is>
          <t>NO</t>
        </is>
      </c>
      <c r="U30" s="87" t="inlineStr">
        <is>
          <t>YES</t>
        </is>
      </c>
      <c r="V30" s="87" t="inlineStr">
        <is>
          <t>No actions required</t>
        </is>
      </c>
    </row>
    <row r="31">
      <c r="A31" t="inlineStr">
        <is>
          <t>A11-L3</t>
        </is>
      </c>
      <c r="B31" t="inlineStr">
        <is>
          <t>Comms room south east DB riser</t>
        </is>
      </c>
      <c r="C31" t="inlineStr">
        <is>
          <t>Tenant/Riser/AHU</t>
        </is>
      </c>
      <c r="D31" t="inlineStr">
        <is>
          <t>FD30</t>
        </is>
      </c>
      <c r="E31" t="inlineStr">
        <is>
          <t>Single Leaf</t>
        </is>
      </c>
      <c r="F31" t="inlineStr">
        <is>
          <t>Unknown</t>
        </is>
      </c>
      <c r="G31" t="inlineStr">
        <is>
          <t>Paint</t>
        </is>
      </c>
      <c r="H31" t="inlineStr">
        <is>
          <t>Damaged</t>
        </is>
      </c>
      <c r="I31" t="inlineStr">
        <is>
          <t>Unknown</t>
        </is>
      </c>
      <c r="J31" t="inlineStr">
        <is>
          <t>None</t>
        </is>
      </c>
      <c r="K31" t="inlineStr">
        <is>
          <t>ART04, ART16, ART19, ART21</t>
        </is>
      </c>
      <c r="L31" t="inlineStr">
        <is>
          <t>High</t>
        </is>
      </c>
      <c r="M31" t="inlineStr">
        <is>
          <t>06/09/2026</t>
        </is>
      </c>
      <c r="N31" t="inlineStr">
        <is>
          <t>YES</t>
        </is>
      </c>
      <c r="O31" t="inlineStr">
        <is>
          <t>NO</t>
        </is>
      </c>
      <c r="P31" t="inlineStr">
        <is>
          <t>B10</t>
        </is>
      </c>
      <c r="Q31" t="n">
        <v>1</v>
      </c>
      <c r="R31" t="inlineStr">
        <is>
          <t>NO</t>
        </is>
      </c>
      <c r="S31" t="inlineStr">
        <is>
          <t>NO</t>
        </is>
      </c>
      <c r="T31" t="inlineStr">
        <is>
          <t>NO</t>
        </is>
      </c>
      <c r="U31" t="inlineStr">
        <is>
          <t>NO</t>
        </is>
      </c>
      <c r="V31" t="inlineStr">
        <is>
          <t>ARTs: 04,16,19,21</t>
        </is>
      </c>
    </row>
    <row r="32">
      <c r="A32" s="89" t="inlineStr">
        <is>
          <t>A12-L3</t>
        </is>
      </c>
      <c r="B32" s="89" t="inlineStr">
        <is>
          <t>Core 5 tenant door to WCs</t>
        </is>
      </c>
      <c r="C32" s="89" t="inlineStr">
        <is>
          <t>Tenant/Riser/AHU</t>
        </is>
      </c>
      <c r="D32" s="89" t="inlineStr">
        <is>
          <t>FD60</t>
        </is>
      </c>
      <c r="E32" s="89" t="inlineStr">
        <is>
          <t>Single Leaf</t>
        </is>
      </c>
      <c r="F32" s="89" t="inlineStr">
        <is>
          <t>2650x950x70mm</t>
        </is>
      </c>
      <c r="G32" s="89" t="inlineStr">
        <is>
          <t>Unknown</t>
        </is>
      </c>
      <c r="H32" s="89" t="inlineStr">
        <is>
          <t>Missing</t>
        </is>
      </c>
      <c r="I32" s="89" t="inlineStr">
        <is>
          <t>Damaged closer</t>
        </is>
      </c>
      <c r="J32" s="89" t="inlineStr">
        <is>
          <t>None</t>
        </is>
      </c>
      <c r="K32" s="89" t="inlineStr">
        <is>
          <t>ART18</t>
        </is>
      </c>
      <c r="L32" s="89" t="inlineStr">
        <is>
          <t>Replace</t>
        </is>
      </c>
      <c r="M32" s="89" t="inlineStr">
        <is>
          <t>06/09/2026</t>
        </is>
      </c>
      <c r="N32" s="89" t="inlineStr">
        <is>
          <t>NO</t>
        </is>
      </c>
      <c r="O32" s="89" t="inlineStr">
        <is>
          <t>YES</t>
        </is>
      </c>
      <c r="P32" s="89" t="inlineStr">
        <is>
          <t>A09</t>
        </is>
      </c>
      <c r="Q32" s="89" t="n">
        <v>1</v>
      </c>
      <c r="R32" s="89" t="inlineStr">
        <is>
          <t>NO</t>
        </is>
      </c>
      <c r="S32" s="89" t="inlineStr">
        <is>
          <t>NO</t>
        </is>
      </c>
      <c r="T32" s="89" t="inlineStr">
        <is>
          <t>NO</t>
        </is>
      </c>
      <c r="U32" s="89" t="inlineStr">
        <is>
          <t>NO</t>
        </is>
      </c>
      <c r="V32" s="89" t="inlineStr">
        <is>
          <t>ARTs: 18 | REPLACE — dims: 2650x950x70mm</t>
        </is>
      </c>
    </row>
    <row r="33">
      <c r="A33" t="inlineStr">
        <is>
          <t>A13-L3</t>
        </is>
      </c>
      <c r="B33" t="inlineStr">
        <is>
          <t>Core 5 tenant door to stairs</t>
        </is>
      </c>
      <c r="C33" t="inlineStr">
        <is>
          <t>Tenant/Riser/AHU</t>
        </is>
      </c>
      <c r="D33" t="inlineStr">
        <is>
          <t>FD30</t>
        </is>
      </c>
      <c r="E33" t="inlineStr">
        <is>
          <t>Single Leaf</t>
        </is>
      </c>
      <c r="F33" t="inlineStr">
        <is>
          <t>Unknown</t>
        </is>
      </c>
      <c r="G33" t="inlineStr">
        <is>
          <t>Unknown</t>
        </is>
      </c>
      <c r="H33" t="inlineStr">
        <is>
          <t>Checked</t>
        </is>
      </c>
      <c r="I33" t="inlineStr">
        <is>
          <t>Overhead Closer</t>
        </is>
      </c>
      <c r="J33" t="inlineStr">
        <is>
          <t>None</t>
        </is>
      </c>
      <c r="K33" t="inlineStr">
        <is>
          <t>ART10</t>
        </is>
      </c>
      <c r="L33" t="inlineStr">
        <is>
          <t>High</t>
        </is>
      </c>
      <c r="M33" t="inlineStr">
        <is>
          <t>06/09/2026</t>
        </is>
      </c>
      <c r="N33" t="inlineStr">
        <is>
          <t>YES</t>
        </is>
      </c>
      <c r="O33" t="inlineStr">
        <is>
          <t>NO</t>
        </is>
      </c>
      <c r="P33" t="inlineStr">
        <is>
          <t>B05</t>
        </is>
      </c>
      <c r="Q33" t="n">
        <v>1</v>
      </c>
      <c r="R33" t="inlineStr">
        <is>
          <t>NO</t>
        </is>
      </c>
      <c r="S33" t="inlineStr">
        <is>
          <t>NO</t>
        </is>
      </c>
      <c r="T33" t="inlineStr">
        <is>
          <t>NO</t>
        </is>
      </c>
      <c r="U33" t="inlineStr">
        <is>
          <t>NO</t>
        </is>
      </c>
      <c r="V33" t="inlineStr">
        <is>
          <t>ARTs: 10</t>
        </is>
      </c>
    </row>
    <row r="34">
      <c r="A34" s="89" t="inlineStr">
        <is>
          <t>A14-L3</t>
        </is>
      </c>
      <c r="B34" s="89" t="inlineStr">
        <is>
          <t>Core 4 tenant DB riser</t>
        </is>
      </c>
      <c r="C34" s="89" t="inlineStr">
        <is>
          <t>Tenant/Riser/AHU</t>
        </is>
      </c>
      <c r="D34" s="89" t="inlineStr">
        <is>
          <t>FD30</t>
        </is>
      </c>
      <c r="E34" s="89" t="inlineStr">
        <is>
          <t>Double Leaf</t>
        </is>
      </c>
      <c r="F34" s="89" t="inlineStr">
        <is>
          <t>2650x1810x135mm</t>
        </is>
      </c>
      <c r="G34" s="89" t="inlineStr">
        <is>
          <t>Paint</t>
        </is>
      </c>
      <c r="H34" s="89" t="inlineStr">
        <is>
          <t>Unknown</t>
        </is>
      </c>
      <c r="I34" s="89" t="inlineStr">
        <is>
          <t>Unknown</t>
        </is>
      </c>
      <c r="J34" s="89" t="inlineStr">
        <is>
          <t>None</t>
        </is>
      </c>
      <c r="K34" s="89" t="inlineStr">
        <is>
          <t>ART18</t>
        </is>
      </c>
      <c r="L34" s="89" t="inlineStr">
        <is>
          <t>Replace</t>
        </is>
      </c>
      <c r="M34" s="89" t="inlineStr">
        <is>
          <t>06/09/2026</t>
        </is>
      </c>
      <c r="N34" s="89" t="inlineStr">
        <is>
          <t>NO</t>
        </is>
      </c>
      <c r="O34" s="89" t="inlineStr">
        <is>
          <t>YES</t>
        </is>
      </c>
      <c r="P34" s="89" t="inlineStr">
        <is>
          <t>A08</t>
        </is>
      </c>
      <c r="Q34" s="89" t="n">
        <v>1</v>
      </c>
      <c r="R34" s="89" t="inlineStr">
        <is>
          <t>NO</t>
        </is>
      </c>
      <c r="S34" s="89" t="inlineStr">
        <is>
          <t>NO</t>
        </is>
      </c>
      <c r="T34" s="89" t="inlineStr">
        <is>
          <t>NO</t>
        </is>
      </c>
      <c r="U34" s="89" t="inlineStr">
        <is>
          <t>NO</t>
        </is>
      </c>
      <c r="V34" s="89" t="inlineStr">
        <is>
          <t>ARTs: 18 | REPLACE — dims: 2650x1810x135mm</t>
        </is>
      </c>
    </row>
    <row r="35">
      <c r="A35" t="inlineStr">
        <is>
          <t>A15-L3</t>
        </is>
      </c>
      <c r="B35" t="inlineStr">
        <is>
          <t>Core 4 tenant door</t>
        </is>
      </c>
      <c r="C35" t="inlineStr">
        <is>
          <t>Tenant/Riser/AHU</t>
        </is>
      </c>
      <c r="D35" t="inlineStr">
        <is>
          <t>FD60</t>
        </is>
      </c>
      <c r="E35" t="inlineStr">
        <is>
          <t>Single Leaf</t>
        </is>
      </c>
      <c r="F35" t="inlineStr">
        <is>
          <t>Unknown</t>
        </is>
      </c>
      <c r="G35" t="inlineStr">
        <is>
          <t>Unknown</t>
        </is>
      </c>
      <c r="H35" t="inlineStr">
        <is>
          <t>Checked</t>
        </is>
      </c>
      <c r="I35" t="inlineStr">
        <is>
          <t>Overhead Closer</t>
        </is>
      </c>
      <c r="J35" t="inlineStr">
        <is>
          <t>Vision Panel</t>
        </is>
      </c>
      <c r="K35" t="inlineStr">
        <is>
          <t>ART04</t>
        </is>
      </c>
      <c r="L35" t="inlineStr">
        <is>
          <t>High</t>
        </is>
      </c>
      <c r="M35" t="inlineStr">
        <is>
          <t>06/09/2026</t>
        </is>
      </c>
      <c r="N35" t="inlineStr">
        <is>
          <t>YES</t>
        </is>
      </c>
      <c r="O35" t="inlineStr">
        <is>
          <t>NO</t>
        </is>
      </c>
      <c r="P35" t="inlineStr">
        <is>
          <t>B10</t>
        </is>
      </c>
      <c r="Q35" t="n">
        <v>1</v>
      </c>
      <c r="R35" t="inlineStr">
        <is>
          <t>NO</t>
        </is>
      </c>
      <c r="S35" t="inlineStr">
        <is>
          <t>NO</t>
        </is>
      </c>
      <c r="T35" t="inlineStr">
        <is>
          <t>NO</t>
        </is>
      </c>
      <c r="U35" t="inlineStr">
        <is>
          <t>YES</t>
        </is>
      </c>
      <c r="V35" t="inlineStr">
        <is>
          <t>ARTs: 04</t>
        </is>
      </c>
    </row>
    <row r="36">
      <c r="A36" t="inlineStr">
        <is>
          <t>A16-L3</t>
        </is>
      </c>
      <c r="B36" t="inlineStr">
        <is>
          <t>Core 2 comms room 1 door</t>
        </is>
      </c>
      <c r="C36" t="inlineStr">
        <is>
          <t>Tenant/Riser/AHU</t>
        </is>
      </c>
      <c r="D36" t="inlineStr">
        <is>
          <t>FD30</t>
        </is>
      </c>
      <c r="E36" t="inlineStr">
        <is>
          <t>Single Leaf</t>
        </is>
      </c>
      <c r="F36" t="inlineStr">
        <is>
          <t>Unknown</t>
        </is>
      </c>
      <c r="G36" t="inlineStr">
        <is>
          <t>Paint</t>
        </is>
      </c>
      <c r="H36" t="inlineStr">
        <is>
          <t>Checked</t>
        </is>
      </c>
      <c r="I36" t="inlineStr">
        <is>
          <t>Overhead Closer</t>
        </is>
      </c>
      <c r="J36" t="inlineStr">
        <is>
          <t>None</t>
        </is>
      </c>
      <c r="K36" t="inlineStr">
        <is>
          <t>ART04</t>
        </is>
      </c>
      <c r="L36" t="inlineStr">
        <is>
          <t>High</t>
        </is>
      </c>
      <c r="M36" t="inlineStr">
        <is>
          <t>06/09/2026</t>
        </is>
      </c>
      <c r="N36" t="inlineStr">
        <is>
          <t>YES</t>
        </is>
      </c>
      <c r="O36" t="inlineStr">
        <is>
          <t>NO</t>
        </is>
      </c>
      <c r="P36" t="inlineStr">
        <is>
          <t>B10</t>
        </is>
      </c>
      <c r="Q36" t="n">
        <v>1</v>
      </c>
      <c r="R36" t="inlineStr">
        <is>
          <t>NO</t>
        </is>
      </c>
      <c r="S36" t="inlineStr">
        <is>
          <t>NO</t>
        </is>
      </c>
      <c r="T36" t="inlineStr">
        <is>
          <t>NO</t>
        </is>
      </c>
      <c r="U36" t="inlineStr">
        <is>
          <t>NO</t>
        </is>
      </c>
      <c r="V36" t="inlineStr">
        <is>
          <t>ARTs: 04</t>
        </is>
      </c>
    </row>
    <row r="37">
      <c r="A37" t="inlineStr">
        <is>
          <t>A17-L3</t>
        </is>
      </c>
      <c r="B37" t="inlineStr">
        <is>
          <t>AHU 3 inner door</t>
        </is>
      </c>
      <c r="C37" t="inlineStr">
        <is>
          <t>Tenant/Riser/AHU</t>
        </is>
      </c>
      <c r="D37" t="inlineStr">
        <is>
          <t>FD60</t>
        </is>
      </c>
      <c r="E37" t="inlineStr">
        <is>
          <t>Single Leaf</t>
        </is>
      </c>
      <c r="F37" t="inlineStr">
        <is>
          <t>Unknown</t>
        </is>
      </c>
      <c r="G37" t="inlineStr">
        <is>
          <t>Paint</t>
        </is>
      </c>
      <c r="H37" t="inlineStr">
        <is>
          <t>Damaged</t>
        </is>
      </c>
      <c r="I37" t="inlineStr">
        <is>
          <t>Unknown</t>
        </is>
      </c>
      <c r="J37" t="inlineStr">
        <is>
          <t>None</t>
        </is>
      </c>
      <c r="K37" t="inlineStr">
        <is>
          <t>ART02, ART04, ART16</t>
        </is>
      </c>
      <c r="L37" t="inlineStr">
        <is>
          <t>High</t>
        </is>
      </c>
      <c r="M37" t="inlineStr">
        <is>
          <t>06/09/2026</t>
        </is>
      </c>
      <c r="N37" t="inlineStr">
        <is>
          <t>YES</t>
        </is>
      </c>
      <c r="O37" t="inlineStr">
        <is>
          <t>NO</t>
        </is>
      </c>
      <c r="P37" t="inlineStr">
        <is>
          <t>B12</t>
        </is>
      </c>
      <c r="Q37" t="n">
        <v>1</v>
      </c>
      <c r="R37" t="inlineStr">
        <is>
          <t>NO</t>
        </is>
      </c>
      <c r="S37" t="inlineStr">
        <is>
          <t>NO</t>
        </is>
      </c>
      <c r="T37" t="inlineStr">
        <is>
          <t>NO</t>
        </is>
      </c>
      <c r="U37" t="inlineStr">
        <is>
          <t>NO</t>
        </is>
      </c>
      <c r="V37" t="inlineStr">
        <is>
          <t>ARTs: 02,04,16</t>
        </is>
      </c>
    </row>
    <row r="38">
      <c r="A38" s="88" t="inlineStr">
        <is>
          <t>A18-L3</t>
        </is>
      </c>
      <c r="B38" s="88" t="inlineStr">
        <is>
          <t>AHU 3 outer door</t>
        </is>
      </c>
      <c r="C38" s="88" t="inlineStr">
        <is>
          <t>Tenant/Riser/AHU</t>
        </is>
      </c>
      <c r="D38" s="88" t="inlineStr">
        <is>
          <t>FD60</t>
        </is>
      </c>
      <c r="E38" s="88" t="inlineStr">
        <is>
          <t>Single Leaf</t>
        </is>
      </c>
      <c r="F38" s="88" t="inlineStr">
        <is>
          <t>Unknown</t>
        </is>
      </c>
      <c r="G38" s="88" t="inlineStr">
        <is>
          <t>Paint</t>
        </is>
      </c>
      <c r="H38" s="88" t="inlineStr">
        <is>
          <t>Checked</t>
        </is>
      </c>
      <c r="I38" s="88" t="inlineStr">
        <is>
          <t>Unknown</t>
        </is>
      </c>
      <c r="J38" s="88" t="inlineStr">
        <is>
          <t>None</t>
        </is>
      </c>
      <c r="K38" s="88" t="inlineStr">
        <is>
          <t>ART13</t>
        </is>
      </c>
      <c r="L38" s="88" t="inlineStr">
        <is>
          <t>Moderate</t>
        </is>
      </c>
      <c r="M38" s="88" t="inlineStr">
        <is>
          <t>06/09/2026</t>
        </is>
      </c>
      <c r="N38" s="88" t="inlineStr">
        <is>
          <t>YES</t>
        </is>
      </c>
      <c r="O38" s="88" t="inlineStr">
        <is>
          <t>NO</t>
        </is>
      </c>
      <c r="P38" s="88" t="inlineStr">
        <is>
          <t>B04</t>
        </is>
      </c>
      <c r="Q38" s="88" t="n">
        <v>1</v>
      </c>
      <c r="R38" s="88" t="inlineStr">
        <is>
          <t>NO</t>
        </is>
      </c>
      <c r="S38" s="88" t="inlineStr">
        <is>
          <t>NO</t>
        </is>
      </c>
      <c r="T38" s="88" t="inlineStr">
        <is>
          <t>NO</t>
        </is>
      </c>
      <c r="U38" s="88" t="inlineStr">
        <is>
          <t>NO</t>
        </is>
      </c>
      <c r="V38" s="88" t="inlineStr">
        <is>
          <t>ARTs: 13</t>
        </is>
      </c>
    </row>
    <row r="39">
      <c r="A39" s="87" t="inlineStr">
        <is>
          <t>A19-L3</t>
        </is>
      </c>
      <c r="B39" s="87" t="inlineStr">
        <is>
          <t>Core 2 tenant door</t>
        </is>
      </c>
      <c r="C39" s="87" t="inlineStr">
        <is>
          <t>Tenant/Riser/AHU</t>
        </is>
      </c>
      <c r="D39" s="87" t="inlineStr">
        <is>
          <t>FD60</t>
        </is>
      </c>
      <c r="E39" s="87" t="inlineStr">
        <is>
          <t>Single Leaf</t>
        </is>
      </c>
      <c r="F39" s="87" t="inlineStr">
        <is>
          <t>Unknown</t>
        </is>
      </c>
      <c r="G39" s="87" t="inlineStr">
        <is>
          <t>Unknown</t>
        </is>
      </c>
      <c r="H39" s="87" t="inlineStr">
        <is>
          <t>Checked</t>
        </is>
      </c>
      <c r="I39" s="87" t="inlineStr">
        <is>
          <t>Overhead Closer</t>
        </is>
      </c>
      <c r="J39" s="87" t="inlineStr">
        <is>
          <t>Vision Panel</t>
        </is>
      </c>
      <c r="K39" s="87" t="inlineStr">
        <is>
          <t>Compliant</t>
        </is>
      </c>
      <c r="L39" s="87" t="inlineStr">
        <is>
          <t>N/A</t>
        </is>
      </c>
      <c r="M39" s="87" t="inlineStr">
        <is>
          <t>06/09/2026</t>
        </is>
      </c>
      <c r="N39" s="87" t="inlineStr">
        <is>
          <t>NO</t>
        </is>
      </c>
      <c r="O39" s="87" t="inlineStr">
        <is>
          <t>NO</t>
        </is>
      </c>
      <c r="P39" s="87" t="inlineStr"/>
      <c r="Q39" s="87" t="n">
        <v>1</v>
      </c>
      <c r="R39" s="87" t="inlineStr">
        <is>
          <t>NO</t>
        </is>
      </c>
      <c r="S39" s="87" t="inlineStr">
        <is>
          <t>NO</t>
        </is>
      </c>
      <c r="T39" s="87" t="inlineStr">
        <is>
          <t>NO</t>
        </is>
      </c>
      <c r="U39" s="87" t="inlineStr">
        <is>
          <t>YES</t>
        </is>
      </c>
      <c r="V39" s="87" t="inlineStr">
        <is>
          <t>No actions required</t>
        </is>
      </c>
    </row>
    <row r="40">
      <c r="A40" t="inlineStr">
        <is>
          <t>A20-L3</t>
        </is>
      </c>
      <c r="B40" t="inlineStr">
        <is>
          <t>Core 2 MCCP riser (SOHO)</t>
        </is>
      </c>
      <c r="C40" t="inlineStr">
        <is>
          <t>Tenant/Riser/AHU</t>
        </is>
      </c>
      <c r="D40" t="inlineStr">
        <is>
          <t>FD60</t>
        </is>
      </c>
      <c r="E40" t="inlineStr">
        <is>
          <t>Single Leaf</t>
        </is>
      </c>
      <c r="F40" t="inlineStr">
        <is>
          <t>Unknown</t>
        </is>
      </c>
      <c r="G40" t="inlineStr">
        <is>
          <t>Paint</t>
        </is>
      </c>
      <c r="H40" t="inlineStr">
        <is>
          <t>Damaged</t>
        </is>
      </c>
      <c r="I40" t="inlineStr">
        <is>
          <t>Unknown</t>
        </is>
      </c>
      <c r="J40" t="inlineStr">
        <is>
          <t>None</t>
        </is>
      </c>
      <c r="K40" t="inlineStr">
        <is>
          <t>ART01, ART04, ART13, ART21</t>
        </is>
      </c>
      <c r="L40" t="inlineStr">
        <is>
          <t>High</t>
        </is>
      </c>
      <c r="M40" t="inlineStr">
        <is>
          <t>06/09/2026</t>
        </is>
      </c>
      <c r="N40" t="inlineStr">
        <is>
          <t>YES</t>
        </is>
      </c>
      <c r="O40" t="inlineStr">
        <is>
          <t>NO</t>
        </is>
      </c>
      <c r="P40" t="inlineStr">
        <is>
          <t>B11</t>
        </is>
      </c>
      <c r="Q40" t="n">
        <v>1</v>
      </c>
      <c r="R40" t="inlineStr">
        <is>
          <t>NO</t>
        </is>
      </c>
      <c r="S40" t="inlineStr">
        <is>
          <t>NO</t>
        </is>
      </c>
      <c r="T40" t="inlineStr">
        <is>
          <t>NO</t>
        </is>
      </c>
      <c r="U40" t="inlineStr">
        <is>
          <t>NO</t>
        </is>
      </c>
      <c r="V40" t="inlineStr">
        <is>
          <t>ARTs: 01,04,13,21</t>
        </is>
      </c>
    </row>
    <row r="41">
      <c r="A41" t="inlineStr">
        <is>
          <t>A21-L3</t>
        </is>
      </c>
      <c r="B41" t="inlineStr">
        <is>
          <t>Dividing door north to west</t>
        </is>
      </c>
      <c r="C41" t="inlineStr">
        <is>
          <t>Tenant/Riser/AHU</t>
        </is>
      </c>
      <c r="D41" t="inlineStr">
        <is>
          <t>Nominal</t>
        </is>
      </c>
      <c r="E41" t="inlineStr">
        <is>
          <t>Single Leaf</t>
        </is>
      </c>
      <c r="F41" t="inlineStr">
        <is>
          <t>Unknown</t>
        </is>
      </c>
      <c r="G41" t="inlineStr">
        <is>
          <t>Paint</t>
        </is>
      </c>
      <c r="H41" t="inlineStr">
        <is>
          <t>Missing</t>
        </is>
      </c>
      <c r="I41" t="inlineStr">
        <is>
          <t>None fitted</t>
        </is>
      </c>
      <c r="J41" t="inlineStr">
        <is>
          <t>None</t>
        </is>
      </c>
      <c r="K41" t="inlineStr">
        <is>
          <t>ART05, ART11, ART19</t>
        </is>
      </c>
      <c r="L41" t="inlineStr">
        <is>
          <t>High</t>
        </is>
      </c>
      <c r="M41" t="inlineStr">
        <is>
          <t>06/09/2026</t>
        </is>
      </c>
      <c r="N41" t="inlineStr">
        <is>
          <t>YES</t>
        </is>
      </c>
      <c r="O41" t="inlineStr">
        <is>
          <t>NO</t>
        </is>
      </c>
      <c r="P41" t="inlineStr">
        <is>
          <t>B03</t>
        </is>
      </c>
      <c r="Q41" t="n">
        <v>1</v>
      </c>
      <c r="R41" t="inlineStr">
        <is>
          <t>NO</t>
        </is>
      </c>
      <c r="S41" t="inlineStr">
        <is>
          <t>NO</t>
        </is>
      </c>
      <c r="T41" t="inlineStr">
        <is>
          <t>NO</t>
        </is>
      </c>
      <c r="U41" t="inlineStr">
        <is>
          <t>NO</t>
        </is>
      </c>
      <c r="V41" t="inlineStr">
        <is>
          <t>ARTs: 05,11,19</t>
        </is>
      </c>
    </row>
    <row r="42">
      <c r="A42" t="inlineStr">
        <is>
          <t>A22-L3</t>
        </is>
      </c>
      <c r="B42" t="inlineStr">
        <is>
          <t>Female WCs north area</t>
        </is>
      </c>
      <c r="C42" t="inlineStr">
        <is>
          <t>Tenant/Riser/AHU</t>
        </is>
      </c>
      <c r="D42" t="inlineStr">
        <is>
          <t>FD30</t>
        </is>
      </c>
      <c r="E42" t="inlineStr">
        <is>
          <t>Single Leaf</t>
        </is>
      </c>
      <c r="F42" t="inlineStr">
        <is>
          <t>Unknown</t>
        </is>
      </c>
      <c r="G42" t="inlineStr">
        <is>
          <t>Unknown</t>
        </is>
      </c>
      <c r="H42" t="inlineStr">
        <is>
          <t>Missing</t>
        </is>
      </c>
      <c r="I42" t="inlineStr">
        <is>
          <t>Unknown</t>
        </is>
      </c>
      <c r="J42" t="inlineStr">
        <is>
          <t>Vision Panel</t>
        </is>
      </c>
      <c r="K42" t="inlineStr">
        <is>
          <t>ART08, ART11, ART19</t>
        </is>
      </c>
      <c r="L42" t="inlineStr">
        <is>
          <t>High</t>
        </is>
      </c>
      <c r="M42" t="inlineStr">
        <is>
          <t>06/09/2026</t>
        </is>
      </c>
      <c r="N42" t="inlineStr">
        <is>
          <t>YES</t>
        </is>
      </c>
      <c r="O42" t="inlineStr">
        <is>
          <t>NO</t>
        </is>
      </c>
      <c r="P42" t="inlineStr">
        <is>
          <t>B04</t>
        </is>
      </c>
      <c r="Q42" t="n">
        <v>1</v>
      </c>
      <c r="R42" t="inlineStr">
        <is>
          <t>NO</t>
        </is>
      </c>
      <c r="S42" t="inlineStr">
        <is>
          <t>NO</t>
        </is>
      </c>
      <c r="T42" t="inlineStr">
        <is>
          <t>NO</t>
        </is>
      </c>
      <c r="U42" t="inlineStr">
        <is>
          <t>YES</t>
        </is>
      </c>
      <c r="V42" t="inlineStr">
        <is>
          <t>ARTs: 08,11,19</t>
        </is>
      </c>
    </row>
    <row r="43">
      <c r="A43" s="90" t="inlineStr">
        <is>
          <t>--- NATIXIS / CITYSPACE SURVEY (Type 2 Excel — Option B PENDING) ---</t>
        </is>
      </c>
    </row>
    <row r="44">
      <c r="A44" s="88" t="inlineStr">
        <is>
          <t>Floor1-D1</t>
        </is>
      </c>
      <c r="B44" s="88" t="inlineStr">
        <is>
          <t>Comm's Room</t>
        </is>
      </c>
      <c r="C44" s="88" t="inlineStr">
        <is>
          <t>Unknown</t>
        </is>
      </c>
      <c r="D44" s="88" t="inlineStr">
        <is>
          <t>PENDING — fire strategy required</t>
        </is>
      </c>
      <c r="E44" s="88" t="inlineStr">
        <is>
          <t>Unknown</t>
        </is>
      </c>
      <c r="F44" s="88" t="inlineStr">
        <is>
          <t>Unknown</t>
        </is>
      </c>
      <c r="G44" s="88" t="inlineStr">
        <is>
          <t>Unknown</t>
        </is>
      </c>
      <c r="H44" s="88" t="inlineStr">
        <is>
          <t>Missing seal at top of door, where self-closer replaced</t>
        </is>
      </c>
      <c r="I44" s="88" t="inlineStr">
        <is>
          <t>OK</t>
        </is>
      </c>
      <c r="J44" s="88" t="inlineStr">
        <is>
          <t>No</t>
        </is>
      </c>
      <c r="K44" s="88" t="inlineStr">
        <is>
          <t>B04, B01</t>
        </is>
      </c>
      <c r="L44" s="88" t="inlineStr">
        <is>
          <t>Unknown</t>
        </is>
      </c>
      <c r="M44" s="88" t="inlineStr">
        <is>
          <t>06/09/2026</t>
        </is>
      </c>
      <c r="N44" s="88" t="inlineStr">
        <is>
          <t>YES</t>
        </is>
      </c>
      <c r="O44" s="88" t="inlineStr">
        <is>
          <t>PENDING</t>
        </is>
      </c>
      <c r="P44" s="88" t="inlineStr">
        <is>
          <t>B04</t>
        </is>
      </c>
      <c r="Q44" s="88" t="n">
        <v>1</v>
      </c>
      <c r="R44" s="88" t="inlineStr">
        <is>
          <t>NO</t>
        </is>
      </c>
      <c r="S44" s="88" t="inlineStr">
        <is>
          <t>NO</t>
        </is>
      </c>
      <c r="T44" s="88" t="inlineStr">
        <is>
          <t>NO</t>
        </is>
      </c>
      <c r="U44" s="88" t="inlineStr">
        <is>
          <t>NO</t>
        </is>
      </c>
      <c r="V44" s="88" t="inlineStr">
        <is>
          <t>Type 2 survey. Faults: seals=Missing seal at top of door, where self-, closer=OK</t>
        </is>
      </c>
    </row>
    <row r="45">
      <c r="A45" s="88" t="inlineStr">
        <is>
          <t>Floor1-D4</t>
        </is>
      </c>
      <c r="B45" s="88" t="inlineStr">
        <is>
          <t>Cleaners cupboard</t>
        </is>
      </c>
      <c r="C45" s="88" t="inlineStr">
        <is>
          <t>Unknown</t>
        </is>
      </c>
      <c r="D45" s="88" t="inlineStr">
        <is>
          <t>PENDING — fire strategy required</t>
        </is>
      </c>
      <c r="E45" s="88" t="inlineStr">
        <is>
          <t>Unknown</t>
        </is>
      </c>
      <c r="F45" s="88" t="inlineStr">
        <is>
          <t>Unknown</t>
        </is>
      </c>
      <c r="G45" s="88" t="inlineStr">
        <is>
          <t>Unknown</t>
        </is>
      </c>
      <c r="H45" s="88" t="inlineStr">
        <is>
          <t>OK</t>
        </is>
      </c>
      <c r="I45" s="88" t="inlineStr">
        <is>
          <t>Requires adjustment to overcome latch.</t>
        </is>
      </c>
      <c r="J45" s="88" t="inlineStr">
        <is>
          <t>No</t>
        </is>
      </c>
      <c r="K45" s="88" t="inlineStr">
        <is>
          <t>B10</t>
        </is>
      </c>
      <c r="L45" s="88" t="inlineStr">
        <is>
          <t>Unknown</t>
        </is>
      </c>
      <c r="M45" s="88" t="inlineStr">
        <is>
          <t>06/09/2026</t>
        </is>
      </c>
      <c r="N45" s="88" t="inlineStr">
        <is>
          <t>YES</t>
        </is>
      </c>
      <c r="O45" s="88" t="inlineStr">
        <is>
          <t>PENDING</t>
        </is>
      </c>
      <c r="P45" s="88" t="inlineStr">
        <is>
          <t>B10</t>
        </is>
      </c>
      <c r="Q45" s="88" t="n">
        <v>1</v>
      </c>
      <c r="R45" s="88" t="inlineStr">
        <is>
          <t>NO</t>
        </is>
      </c>
      <c r="S45" s="88" t="inlineStr">
        <is>
          <t>NO</t>
        </is>
      </c>
      <c r="T45" s="88" t="inlineStr">
        <is>
          <t>NO</t>
        </is>
      </c>
      <c r="U45" s="88" t="inlineStr">
        <is>
          <t>NO</t>
        </is>
      </c>
      <c r="V45" s="88" t="inlineStr">
        <is>
          <t>Type 2 survey. Faults: seals=OK, closer=Requires adjustment to overcome latch. | WEDGED: Wedge noted - staff present stated only when room in use.</t>
        </is>
      </c>
    </row>
    <row r="46">
      <c r="A46" s="88" t="inlineStr">
        <is>
          <t>Floor1-D5</t>
        </is>
      </c>
      <c r="B46" s="88" t="inlineStr">
        <is>
          <t>Door is kept shut - small cupboard</t>
        </is>
      </c>
      <c r="C46" s="88" t="inlineStr">
        <is>
          <t>Unknown</t>
        </is>
      </c>
      <c r="D46" s="88" t="inlineStr">
        <is>
          <t>PENDING — fire strategy required</t>
        </is>
      </c>
      <c r="E46" s="88" t="inlineStr">
        <is>
          <t>Unknown</t>
        </is>
      </c>
      <c r="F46" s="88" t="inlineStr">
        <is>
          <t>Unknown</t>
        </is>
      </c>
      <c r="G46" s="88" t="inlineStr">
        <is>
          <t>Unknown</t>
        </is>
      </c>
      <c r="H46" s="88" t="inlineStr">
        <is>
          <t>OK</t>
        </is>
      </c>
      <c r="I46" s="88" t="inlineStr">
        <is>
          <t>Requires adjustment to overcome latch.</t>
        </is>
      </c>
      <c r="J46" s="88" t="inlineStr">
        <is>
          <t>No</t>
        </is>
      </c>
      <c r="K46" s="88" t="inlineStr">
        <is>
          <t>B10</t>
        </is>
      </c>
      <c r="L46" s="88" t="inlineStr">
        <is>
          <t>Unknown</t>
        </is>
      </c>
      <c r="M46" s="88" t="inlineStr">
        <is>
          <t>06/09/2026</t>
        </is>
      </c>
      <c r="N46" s="88" t="inlineStr">
        <is>
          <t>YES</t>
        </is>
      </c>
      <c r="O46" s="88" t="inlineStr">
        <is>
          <t>PENDING</t>
        </is>
      </c>
      <c r="P46" s="88" t="inlineStr">
        <is>
          <t>B10</t>
        </is>
      </c>
      <c r="Q46" s="88" t="n">
        <v>1</v>
      </c>
      <c r="R46" s="88" t="inlineStr">
        <is>
          <t>NO</t>
        </is>
      </c>
      <c r="S46" s="88" t="inlineStr">
        <is>
          <t>NO</t>
        </is>
      </c>
      <c r="T46" s="88" t="inlineStr">
        <is>
          <t>NO</t>
        </is>
      </c>
      <c r="U46" s="88" t="inlineStr">
        <is>
          <t>NO</t>
        </is>
      </c>
      <c r="V46" s="88" t="inlineStr">
        <is>
          <t>Type 2 survey. Faults: seals=OK, closer=Requires adjustment to overcome latch.</t>
        </is>
      </c>
    </row>
    <row r="47">
      <c r="A47" s="88" t="inlineStr">
        <is>
          <t>Floor1-D7</t>
        </is>
      </c>
      <c r="B47" s="88" t="inlineStr">
        <is>
          <t>Not marked up as 'Fire Door'.  - PDU Room</t>
        </is>
      </c>
      <c r="C47" s="88" t="inlineStr">
        <is>
          <t>Unknown</t>
        </is>
      </c>
      <c r="D47" s="88" t="inlineStr">
        <is>
          <t>PENDING — fire strategy required</t>
        </is>
      </c>
      <c r="E47" s="88" t="inlineStr">
        <is>
          <t>Unknown</t>
        </is>
      </c>
      <c r="F47" s="88" t="inlineStr">
        <is>
          <t>Unknown</t>
        </is>
      </c>
      <c r="G47" s="88" t="inlineStr">
        <is>
          <t>Unknown</t>
        </is>
      </c>
      <c r="H47" s="88" t="inlineStr">
        <is>
          <t>Intumescent strip has been painted over</t>
        </is>
      </c>
      <c r="I47" s="88" t="inlineStr">
        <is>
          <t>OK</t>
        </is>
      </c>
      <c r="J47" s="88" t="inlineStr">
        <is>
          <t>No</t>
        </is>
      </c>
      <c r="K47" s="88" t="inlineStr">
        <is>
          <t>B01, B07</t>
        </is>
      </c>
      <c r="L47" s="88" t="inlineStr">
        <is>
          <t>Unknown</t>
        </is>
      </c>
      <c r="M47" s="88" t="inlineStr">
        <is>
          <t>06/09/2026</t>
        </is>
      </c>
      <c r="N47" s="88" t="inlineStr">
        <is>
          <t>YES</t>
        </is>
      </c>
      <c r="O47" s="88" t="inlineStr">
        <is>
          <t>PENDING</t>
        </is>
      </c>
      <c r="P47" s="88" t="inlineStr">
        <is>
          <t>B01</t>
        </is>
      </c>
      <c r="Q47" s="88" t="n">
        <v>1</v>
      </c>
      <c r="R47" s="88" t="inlineStr">
        <is>
          <t>NO</t>
        </is>
      </c>
      <c r="S47" s="88" t="inlineStr">
        <is>
          <t>NO</t>
        </is>
      </c>
      <c r="T47" s="88" t="inlineStr">
        <is>
          <t>NO</t>
        </is>
      </c>
      <c r="U47" s="88" t="inlineStr">
        <is>
          <t>NO</t>
        </is>
      </c>
      <c r="V47" s="88" t="inlineStr">
        <is>
          <t>Type 2 survey. Faults: seals=Intumescent strip has been painted over, closer=OK</t>
        </is>
      </c>
    </row>
    <row r="48">
      <c r="A48" s="91" t="inlineStr">
        <is>
          <t>Floor1-D11</t>
        </is>
      </c>
      <c r="B48" s="91" t="inlineStr">
        <is>
          <t>Kitchen</t>
        </is>
      </c>
      <c r="C48" s="91" t="inlineStr">
        <is>
          <t>Unknown</t>
        </is>
      </c>
      <c r="D48" s="91" t="inlineStr">
        <is>
          <t>PENDING — fire strategy required</t>
        </is>
      </c>
      <c r="E48" s="91" t="inlineStr">
        <is>
          <t>Unknown</t>
        </is>
      </c>
      <c r="F48" s="91" t="inlineStr">
        <is>
          <t>Unknown</t>
        </is>
      </c>
      <c r="G48" s="91" t="inlineStr">
        <is>
          <t>Unknown</t>
        </is>
      </c>
      <c r="H48" s="91" t="inlineStr">
        <is>
          <t>Coming away on the bottom edge</t>
        </is>
      </c>
      <c r="I48" s="91" t="inlineStr">
        <is>
          <t>Perco double chains noted in use on door</t>
        </is>
      </c>
      <c r="J48" s="91" t="inlineStr">
        <is>
          <t>No</t>
        </is>
      </c>
      <c r="K48" s="91" t="inlineStr">
        <is>
          <t>FLAG — manual review</t>
        </is>
      </c>
      <c r="L48" s="91" t="inlineStr">
        <is>
          <t>Unknown</t>
        </is>
      </c>
      <c r="M48" s="91" t="inlineStr">
        <is>
          <t>06/09/2026</t>
        </is>
      </c>
      <c r="N48" s="91" t="inlineStr">
        <is>
          <t>NO</t>
        </is>
      </c>
      <c r="O48" s="91" t="inlineStr">
        <is>
          <t>PENDING</t>
        </is>
      </c>
      <c r="P48" s="91" t="inlineStr"/>
      <c r="Q48" s="91" t="n">
        <v>1</v>
      </c>
      <c r="R48" s="91" t="inlineStr">
        <is>
          <t>NO</t>
        </is>
      </c>
      <c r="S48" s="91" t="inlineStr">
        <is>
          <t>NO</t>
        </is>
      </c>
      <c r="T48" s="91" t="inlineStr">
        <is>
          <t>NO</t>
        </is>
      </c>
      <c r="U48" s="91" t="inlineStr">
        <is>
          <t>NO</t>
        </is>
      </c>
      <c r="V48" s="91" t="inlineStr">
        <is>
          <t>Type 2 survey. Faults: seals=Coming away on the bottom edge, closer=Perco double chains noted in use on door | FLAG: Hold-open device in use — B08 may be needed</t>
        </is>
      </c>
    </row>
    <row r="49">
      <c r="A49" s="88" t="inlineStr">
        <is>
          <t>Floor1-D14</t>
        </is>
      </c>
      <c r="B49" s="88" t="inlineStr">
        <is>
          <t>Kept locked shut. - Plant Room</t>
        </is>
      </c>
      <c r="C49" s="88" t="inlineStr">
        <is>
          <t>Unknown</t>
        </is>
      </c>
      <c r="D49" s="88" t="inlineStr">
        <is>
          <t>PENDING — fire strategy required</t>
        </is>
      </c>
      <c r="E49" s="88" t="inlineStr">
        <is>
          <t>Unknown</t>
        </is>
      </c>
      <c r="F49" s="88" t="inlineStr">
        <is>
          <t>Unknown</t>
        </is>
      </c>
      <c r="G49" s="88" t="inlineStr">
        <is>
          <t>Unknown</t>
        </is>
      </c>
      <c r="H49" s="88" t="inlineStr">
        <is>
          <t>None fitted.</t>
        </is>
      </c>
      <c r="I49" s="88" t="inlineStr">
        <is>
          <t>Not Fitted</t>
        </is>
      </c>
      <c r="J49" s="88" t="inlineStr">
        <is>
          <t>No</t>
        </is>
      </c>
      <c r="K49" s="88" t="inlineStr">
        <is>
          <t>B01, B03</t>
        </is>
      </c>
      <c r="L49" s="88" t="inlineStr">
        <is>
          <t>Unknown</t>
        </is>
      </c>
      <c r="M49" s="88" t="inlineStr">
        <is>
          <t>06/09/2026</t>
        </is>
      </c>
      <c r="N49" s="88" t="inlineStr">
        <is>
          <t>YES</t>
        </is>
      </c>
      <c r="O49" s="88" t="inlineStr">
        <is>
          <t>PENDING</t>
        </is>
      </c>
      <c r="P49" s="88" t="inlineStr">
        <is>
          <t>B01</t>
        </is>
      </c>
      <c r="Q49" s="88" t="n">
        <v>1</v>
      </c>
      <c r="R49" s="88" t="inlineStr">
        <is>
          <t>NO</t>
        </is>
      </c>
      <c r="S49" s="88" t="inlineStr">
        <is>
          <t>NO</t>
        </is>
      </c>
      <c r="T49" s="88" t="inlineStr">
        <is>
          <t>NO</t>
        </is>
      </c>
      <c r="U49" s="88" t="inlineStr">
        <is>
          <t>NO</t>
        </is>
      </c>
      <c r="V49" s="88" t="inlineStr">
        <is>
          <t>Type 2 survey. Faults: seals=None fitted., closer=Not Fitted</t>
        </is>
      </c>
    </row>
    <row r="50">
      <c r="A50" s="88" t="inlineStr">
        <is>
          <t>Floor1-D18</t>
        </is>
      </c>
      <c r="B50" s="88" t="inlineStr">
        <is>
          <t>Kept closed.</t>
        </is>
      </c>
      <c r="C50" s="88" t="inlineStr">
        <is>
          <t>Unknown</t>
        </is>
      </c>
      <c r="D50" s="88" t="inlineStr">
        <is>
          <t>PENDING — fire strategy required</t>
        </is>
      </c>
      <c r="E50" s="88" t="inlineStr">
        <is>
          <t>Unknown</t>
        </is>
      </c>
      <c r="F50" s="88" t="inlineStr">
        <is>
          <t>Unknown</t>
        </is>
      </c>
      <c r="G50" s="88" t="inlineStr">
        <is>
          <t>Unknown</t>
        </is>
      </c>
      <c r="H50" s="88" t="inlineStr">
        <is>
          <t>Intumescent only.</t>
        </is>
      </c>
      <c r="I50" s="88" t="inlineStr">
        <is>
          <t>Not Fitted</t>
        </is>
      </c>
      <c r="J50" s="88" t="inlineStr">
        <is>
          <t>No</t>
        </is>
      </c>
      <c r="K50" s="88" t="inlineStr">
        <is>
          <t>B02, B03</t>
        </is>
      </c>
      <c r="L50" s="88" t="inlineStr">
        <is>
          <t>Unknown</t>
        </is>
      </c>
      <c r="M50" s="88" t="inlineStr">
        <is>
          <t>06/09/2026</t>
        </is>
      </c>
      <c r="N50" s="88" t="inlineStr">
        <is>
          <t>YES</t>
        </is>
      </c>
      <c r="O50" s="88" t="inlineStr">
        <is>
          <t>PENDING</t>
        </is>
      </c>
      <c r="P50" s="88" t="inlineStr">
        <is>
          <t>B02</t>
        </is>
      </c>
      <c r="Q50" s="88" t="n">
        <v>1</v>
      </c>
      <c r="R50" s="88" t="inlineStr">
        <is>
          <t>NO</t>
        </is>
      </c>
      <c r="S50" s="88" t="inlineStr">
        <is>
          <t>NO</t>
        </is>
      </c>
      <c r="T50" s="88" t="inlineStr">
        <is>
          <t>NO</t>
        </is>
      </c>
      <c r="U50" s="88" t="inlineStr">
        <is>
          <t>NO</t>
        </is>
      </c>
      <c r="V50" s="88" t="inlineStr">
        <is>
          <t>Type 2 survey. Faults: seals=Intumescent only., closer=Not Fitted</t>
        </is>
      </c>
    </row>
    <row r="51">
      <c r="A51" s="91" t="inlineStr">
        <is>
          <t>Floor1-D20</t>
        </is>
      </c>
      <c r="B51" s="91" t="inlineStr">
        <is>
          <t>Access hatch to service riser for maintenance only.</t>
        </is>
      </c>
      <c r="C51" s="91" t="inlineStr">
        <is>
          <t>Unknown</t>
        </is>
      </c>
      <c r="D51" s="91" t="inlineStr">
        <is>
          <t>PENDING — fire strategy required</t>
        </is>
      </c>
      <c r="E51" s="91" t="inlineStr">
        <is>
          <t>Unknown</t>
        </is>
      </c>
      <c r="F51" s="91" t="inlineStr">
        <is>
          <t>Unknown</t>
        </is>
      </c>
      <c r="G51" s="91" t="inlineStr">
        <is>
          <t>Unknown</t>
        </is>
      </c>
      <c r="H51" s="91" t="inlineStr">
        <is>
          <t>Unable to open door and check.</t>
        </is>
      </c>
      <c r="I51" s="91" t="inlineStr">
        <is>
          <t>Unable to open door and check.</t>
        </is>
      </c>
      <c r="J51" s="91" t="inlineStr">
        <is>
          <t>No</t>
        </is>
      </c>
      <c r="K51" s="91" t="inlineStr">
        <is>
          <t>FLAG — manual review</t>
        </is>
      </c>
      <c r="L51" s="91" t="inlineStr">
        <is>
          <t>Unknown</t>
        </is>
      </c>
      <c r="M51" s="91" t="inlineStr">
        <is>
          <t>06/09/2026</t>
        </is>
      </c>
      <c r="N51" s="91" t="inlineStr">
        <is>
          <t>NO</t>
        </is>
      </c>
      <c r="O51" s="91" t="inlineStr">
        <is>
          <t>PENDING</t>
        </is>
      </c>
      <c r="P51" s="91" t="inlineStr"/>
      <c r="Q51" s="91" t="n">
        <v>1</v>
      </c>
      <c r="R51" s="91" t="inlineStr">
        <is>
          <t>NO</t>
        </is>
      </c>
      <c r="S51" s="91" t="inlineStr">
        <is>
          <t>NO</t>
        </is>
      </c>
      <c r="T51" s="91" t="inlineStr">
        <is>
          <t>NO</t>
        </is>
      </c>
      <c r="U51" s="91" t="inlineStr">
        <is>
          <t>NO</t>
        </is>
      </c>
      <c r="V51" s="91" t="inlineStr">
        <is>
          <t>Type 2 survey. Faults: seals=Unable to open door and check., closer=Unable to open door and check. | FLAG: Unable to inspect hinges/ironmongery | FLAG: Unable to inspect seals | FLAG: Unable to inspect closer</t>
        </is>
      </c>
    </row>
    <row r="52">
      <c r="A52" s="88" t="inlineStr">
        <is>
          <t>Floor1-D22</t>
        </is>
      </c>
      <c r="B52" s="88" t="inlineStr">
        <is>
          <t>Kitchen holding area and kitchen staff changing areas</t>
        </is>
      </c>
      <c r="C52" s="88" t="inlineStr">
        <is>
          <t>Unknown</t>
        </is>
      </c>
      <c r="D52" s="88" t="inlineStr">
        <is>
          <t>PENDING — fire strategy required</t>
        </is>
      </c>
      <c r="E52" s="88" t="inlineStr">
        <is>
          <t>Unknown</t>
        </is>
      </c>
      <c r="F52" s="88" t="inlineStr">
        <is>
          <t>Unknown</t>
        </is>
      </c>
      <c r="G52" s="88" t="inlineStr">
        <is>
          <t>Unknown</t>
        </is>
      </c>
      <c r="H52" s="88" t="inlineStr">
        <is>
          <t xml:space="preserve">Damage to smoke seal </t>
        </is>
      </c>
      <c r="I52" s="88" t="inlineStr">
        <is>
          <t>OK</t>
        </is>
      </c>
      <c r="J52" s="88" t="inlineStr">
        <is>
          <t>No</t>
        </is>
      </c>
      <c r="K52" s="88" t="inlineStr">
        <is>
          <t>B01</t>
        </is>
      </c>
      <c r="L52" s="88" t="inlineStr">
        <is>
          <t>Unknown</t>
        </is>
      </c>
      <c r="M52" s="88" t="inlineStr">
        <is>
          <t>06/09/2026</t>
        </is>
      </c>
      <c r="N52" s="88" t="inlineStr">
        <is>
          <t>YES</t>
        </is>
      </c>
      <c r="O52" s="88" t="inlineStr">
        <is>
          <t>PENDING</t>
        </is>
      </c>
      <c r="P52" s="88" t="inlineStr">
        <is>
          <t>B01</t>
        </is>
      </c>
      <c r="Q52" s="88" t="n">
        <v>1</v>
      </c>
      <c r="R52" s="88" t="inlineStr">
        <is>
          <t>NO</t>
        </is>
      </c>
      <c r="S52" s="88" t="inlineStr">
        <is>
          <t>NO</t>
        </is>
      </c>
      <c r="T52" s="88" t="inlineStr">
        <is>
          <t>NO</t>
        </is>
      </c>
      <c r="U52" s="88" t="inlineStr">
        <is>
          <t>NO</t>
        </is>
      </c>
      <c r="V52" s="88" t="inlineStr">
        <is>
          <t>Type 2 survey. Faults: seals=Damage to smoke seal , closer=OK</t>
        </is>
      </c>
    </row>
    <row r="53">
      <c r="A53" s="88" t="inlineStr">
        <is>
          <t>Floor2-D3</t>
        </is>
      </c>
      <c r="B53" s="88" t="inlineStr">
        <is>
          <t>Plant room kept locked shut.</t>
        </is>
      </c>
      <c r="C53" s="88" t="inlineStr">
        <is>
          <t>Unknown</t>
        </is>
      </c>
      <c r="D53" s="88" t="inlineStr">
        <is>
          <t>PENDING — fire strategy required</t>
        </is>
      </c>
      <c r="E53" s="88" t="inlineStr">
        <is>
          <t>Unknown</t>
        </is>
      </c>
      <c r="F53" s="88" t="inlineStr">
        <is>
          <t>Unknown</t>
        </is>
      </c>
      <c r="G53" s="88" t="inlineStr">
        <is>
          <t>Unknown</t>
        </is>
      </c>
      <c r="H53" s="88" t="inlineStr">
        <is>
          <t>OK</t>
        </is>
      </c>
      <c r="I53" s="88" t="inlineStr">
        <is>
          <t>OK</t>
        </is>
      </c>
      <c r="J53" s="88" t="inlineStr">
        <is>
          <t>No</t>
        </is>
      </c>
      <c r="K53" s="88" t="inlineStr">
        <is>
          <t>B04</t>
        </is>
      </c>
      <c r="L53" s="88" t="inlineStr">
        <is>
          <t>Unknown</t>
        </is>
      </c>
      <c r="M53" s="88" t="inlineStr">
        <is>
          <t>06/09/2026</t>
        </is>
      </c>
      <c r="N53" s="88" t="inlineStr">
        <is>
          <t>YES</t>
        </is>
      </c>
      <c r="O53" s="88" t="inlineStr">
        <is>
          <t>PENDING</t>
        </is>
      </c>
      <c r="P53" s="88" t="inlineStr">
        <is>
          <t>B04</t>
        </is>
      </c>
      <c r="Q53" s="88" t="n">
        <v>1</v>
      </c>
      <c r="R53" s="88" t="inlineStr">
        <is>
          <t>NO</t>
        </is>
      </c>
      <c r="S53" s="88" t="inlineStr">
        <is>
          <t>NO</t>
        </is>
      </c>
      <c r="T53" s="88" t="inlineStr">
        <is>
          <t>NO</t>
        </is>
      </c>
      <c r="U53" s="88" t="inlineStr">
        <is>
          <t>NO</t>
        </is>
      </c>
      <c r="V53" s="88" t="inlineStr">
        <is>
          <t>Type 2 survey. Faults: seals=OK, closer=OK</t>
        </is>
      </c>
    </row>
    <row r="54">
      <c r="A54" s="91" t="inlineStr">
        <is>
          <t>Floor2-D5</t>
        </is>
      </c>
      <c r="B54" s="91" t="inlineStr">
        <is>
          <t>Unable to open door fully. Marked as store.</t>
        </is>
      </c>
      <c r="C54" s="91" t="inlineStr">
        <is>
          <t>Unknown</t>
        </is>
      </c>
      <c r="D54" s="91" t="inlineStr">
        <is>
          <t>PENDING — fire strategy required</t>
        </is>
      </c>
      <c r="E54" s="91" t="inlineStr">
        <is>
          <t>Unknown</t>
        </is>
      </c>
      <c r="F54" s="91" t="inlineStr">
        <is>
          <t>Unknown</t>
        </is>
      </c>
      <c r="G54" s="91" t="inlineStr">
        <is>
          <t>Unknown</t>
        </is>
      </c>
      <c r="H54" s="91" t="inlineStr">
        <is>
          <t>Unable to open  fully door and check.</t>
        </is>
      </c>
      <c r="I54" s="91" t="inlineStr">
        <is>
          <t>Unable to open  fully door and check.</t>
        </is>
      </c>
      <c r="J54" s="91" t="inlineStr">
        <is>
          <t>No</t>
        </is>
      </c>
      <c r="K54" s="91" t="inlineStr">
        <is>
          <t>FLAG — manual review</t>
        </is>
      </c>
      <c r="L54" s="91" t="inlineStr">
        <is>
          <t>Unknown</t>
        </is>
      </c>
      <c r="M54" s="91" t="inlineStr">
        <is>
          <t>06/09/2026</t>
        </is>
      </c>
      <c r="N54" s="91" t="inlineStr">
        <is>
          <t>NO</t>
        </is>
      </c>
      <c r="O54" s="91" t="inlineStr">
        <is>
          <t>PENDING</t>
        </is>
      </c>
      <c r="P54" s="91" t="inlineStr"/>
      <c r="Q54" s="91" t="n">
        <v>1</v>
      </c>
      <c r="R54" s="91" t="inlineStr">
        <is>
          <t>NO</t>
        </is>
      </c>
      <c r="S54" s="91" t="inlineStr">
        <is>
          <t>NO</t>
        </is>
      </c>
      <c r="T54" s="91" t="inlineStr">
        <is>
          <t>NO</t>
        </is>
      </c>
      <c r="U54" s="91" t="inlineStr">
        <is>
          <t>NO</t>
        </is>
      </c>
      <c r="V54" s="91" t="inlineStr">
        <is>
          <t>Type 2 survey. Faults: seals=Unable to open  fully door and check., closer=Unable to open  fully door and check. | FLAG: Unable to inspect hinges/ironmongery | FLAG: Unable to inspect seals | FLAG: Unable to inspect closer</t>
        </is>
      </c>
    </row>
    <row r="55">
      <c r="A55" s="91" t="inlineStr">
        <is>
          <t>Floor3-D1</t>
        </is>
      </c>
      <c r="B55" s="91" t="inlineStr">
        <is>
          <t>Electrical cupboard. Could only open right hand door due to location of drinks cabinet.</t>
        </is>
      </c>
      <c r="C55" s="91" t="inlineStr">
        <is>
          <t>Unknown</t>
        </is>
      </c>
      <c r="D55" s="91" t="inlineStr">
        <is>
          <t>PENDING — fire strategy required</t>
        </is>
      </c>
      <c r="E55" s="91" t="inlineStr">
        <is>
          <t>Unknown</t>
        </is>
      </c>
      <c r="F55" s="91" t="inlineStr">
        <is>
          <t>Unknown</t>
        </is>
      </c>
      <c r="G55" s="91" t="inlineStr">
        <is>
          <t>Unknown</t>
        </is>
      </c>
      <c r="H55" s="91" t="inlineStr">
        <is>
          <t>Intumescent only.</t>
        </is>
      </c>
      <c r="I55" s="91" t="inlineStr">
        <is>
          <t>Unable to open door to check</t>
        </is>
      </c>
      <c r="J55" s="91" t="inlineStr">
        <is>
          <t>No</t>
        </is>
      </c>
      <c r="K55" s="91" t="inlineStr">
        <is>
          <t>B02</t>
        </is>
      </c>
      <c r="L55" s="91" t="inlineStr">
        <is>
          <t>Unknown</t>
        </is>
      </c>
      <c r="M55" s="91" t="inlineStr">
        <is>
          <t>06/09/2026</t>
        </is>
      </c>
      <c r="N55" s="91" t="inlineStr">
        <is>
          <t>YES</t>
        </is>
      </c>
      <c r="O55" s="91" t="inlineStr">
        <is>
          <t>PENDING</t>
        </is>
      </c>
      <c r="P55" s="91" t="inlineStr">
        <is>
          <t>B02</t>
        </is>
      </c>
      <c r="Q55" s="91" t="n">
        <v>1</v>
      </c>
      <c r="R55" s="91" t="inlineStr">
        <is>
          <t>NO</t>
        </is>
      </c>
      <c r="S55" s="91" t="inlineStr">
        <is>
          <t>NO</t>
        </is>
      </c>
      <c r="T55" s="91" t="inlineStr">
        <is>
          <t>NO</t>
        </is>
      </c>
      <c r="U55" s="91" t="inlineStr">
        <is>
          <t>NO</t>
        </is>
      </c>
      <c r="V55" s="91" t="inlineStr">
        <is>
          <t>Type 2 survey. Faults: seals=Intumescent only., closer=Unable to open door to check | FLAG: Unable to inspect closer</t>
        </is>
      </c>
    </row>
    <row r="56">
      <c r="A56" s="88" t="inlineStr">
        <is>
          <t>Floor3-D3</t>
        </is>
      </c>
      <c r="B56" s="88" t="inlineStr">
        <is>
          <t>Level 3 plant room</t>
        </is>
      </c>
      <c r="C56" s="88" t="inlineStr">
        <is>
          <t>Unknown</t>
        </is>
      </c>
      <c r="D56" s="88" t="inlineStr">
        <is>
          <t>PENDING — fire strategy required</t>
        </is>
      </c>
      <c r="E56" s="88" t="inlineStr">
        <is>
          <t>Unknown</t>
        </is>
      </c>
      <c r="F56" s="88" t="inlineStr">
        <is>
          <t>Unknown</t>
        </is>
      </c>
      <c r="G56" s="88" t="inlineStr">
        <is>
          <t>Unknown</t>
        </is>
      </c>
      <c r="H56" s="88" t="inlineStr">
        <is>
          <t>Smoke seal worn on top edge</t>
        </is>
      </c>
      <c r="I56" s="88" t="inlineStr">
        <is>
          <t>OK</t>
        </is>
      </c>
      <c r="J56" s="88" t="inlineStr">
        <is>
          <t>No</t>
        </is>
      </c>
      <c r="K56" s="88" t="inlineStr">
        <is>
          <t>B01</t>
        </is>
      </c>
      <c r="L56" s="88" t="inlineStr">
        <is>
          <t>Unknown</t>
        </is>
      </c>
      <c r="M56" s="88" t="inlineStr">
        <is>
          <t>06/09/2026</t>
        </is>
      </c>
      <c r="N56" s="88" t="inlineStr">
        <is>
          <t>YES</t>
        </is>
      </c>
      <c r="O56" s="88" t="inlineStr">
        <is>
          <t>PENDING</t>
        </is>
      </c>
      <c r="P56" s="88" t="inlineStr">
        <is>
          <t>B01</t>
        </is>
      </c>
      <c r="Q56" s="88" t="n">
        <v>1</v>
      </c>
      <c r="R56" s="88" t="inlineStr">
        <is>
          <t>NO</t>
        </is>
      </c>
      <c r="S56" s="88" t="inlineStr">
        <is>
          <t>NO</t>
        </is>
      </c>
      <c r="T56" s="88" t="inlineStr">
        <is>
          <t>NO</t>
        </is>
      </c>
      <c r="U56" s="88" t="inlineStr">
        <is>
          <t>NO</t>
        </is>
      </c>
      <c r="V56" s="88" t="inlineStr">
        <is>
          <t>Type 2 survey. Faults: seals=Smoke seal worn on top edge, closer=OK | WEDGED: Wedge noted</t>
        </is>
      </c>
    </row>
    <row r="57">
      <c r="A57" s="88" t="inlineStr">
        <is>
          <t>Floor3-D6</t>
        </is>
      </c>
      <c r="B57" s="88" t="inlineStr">
        <is>
          <t>Fire door exit from office into corridor</t>
        </is>
      </c>
      <c r="C57" s="88" t="inlineStr">
        <is>
          <t>Unknown</t>
        </is>
      </c>
      <c r="D57" s="88" t="inlineStr">
        <is>
          <t>PENDING — fire strategy required</t>
        </is>
      </c>
      <c r="E57" s="88" t="inlineStr">
        <is>
          <t>Unknown</t>
        </is>
      </c>
      <c r="F57" s="88" t="inlineStr">
        <is>
          <t>Unknown</t>
        </is>
      </c>
      <c r="G57" s="88" t="inlineStr">
        <is>
          <t>Unknown</t>
        </is>
      </c>
      <c r="H57" s="88" t="inlineStr">
        <is>
          <t>OK</t>
        </is>
      </c>
      <c r="I57" s="88" t="inlineStr">
        <is>
          <t>Not closing as catching on floor.</t>
        </is>
      </c>
      <c r="J57" s="88" t="inlineStr">
        <is>
          <t>No</t>
        </is>
      </c>
      <c r="K57" s="88" t="inlineStr">
        <is>
          <t>B10</t>
        </is>
      </c>
      <c r="L57" s="88" t="inlineStr">
        <is>
          <t>Unknown</t>
        </is>
      </c>
      <c r="M57" s="88" t="inlineStr">
        <is>
          <t>06/09/2026</t>
        </is>
      </c>
      <c r="N57" s="88" t="inlineStr">
        <is>
          <t>YES</t>
        </is>
      </c>
      <c r="O57" s="88" t="inlineStr">
        <is>
          <t>PENDING</t>
        </is>
      </c>
      <c r="P57" s="88" t="inlineStr">
        <is>
          <t>B10</t>
        </is>
      </c>
      <c r="Q57" s="88" t="n">
        <v>1</v>
      </c>
      <c r="R57" s="88" t="inlineStr">
        <is>
          <t>NO</t>
        </is>
      </c>
      <c r="S57" s="88" t="inlineStr">
        <is>
          <t>NO</t>
        </is>
      </c>
      <c r="T57" s="88" t="inlineStr">
        <is>
          <t>NO</t>
        </is>
      </c>
      <c r="U57" s="88" t="inlineStr">
        <is>
          <t>NO</t>
        </is>
      </c>
      <c r="V57" s="88" t="inlineStr">
        <is>
          <t>Type 2 survey. Faults: seals=OK, closer=Not closing as catching on floor.</t>
        </is>
      </c>
    </row>
    <row r="58">
      <c r="A58" s="91" t="inlineStr">
        <is>
          <t>Floor3-D11</t>
        </is>
      </c>
      <c r="B58" s="91" t="inlineStr">
        <is>
          <t>Service access hatch door - no markings/labels.</t>
        </is>
      </c>
      <c r="C58" s="91" t="inlineStr">
        <is>
          <t>Unknown</t>
        </is>
      </c>
      <c r="D58" s="91" t="inlineStr">
        <is>
          <t>PENDING — fire strategy required</t>
        </is>
      </c>
      <c r="E58" s="91" t="inlineStr">
        <is>
          <t>Unknown</t>
        </is>
      </c>
      <c r="F58" s="91" t="inlineStr">
        <is>
          <t>Unknown</t>
        </is>
      </c>
      <c r="G58" s="91" t="inlineStr">
        <is>
          <t>Unknown</t>
        </is>
      </c>
      <c r="H58" s="91" t="inlineStr">
        <is>
          <t>Unable to open door to check.</t>
        </is>
      </c>
      <c r="I58" s="91" t="inlineStr">
        <is>
          <t>Unable to open door to check</t>
        </is>
      </c>
      <c r="J58" s="91" t="inlineStr">
        <is>
          <t>No</t>
        </is>
      </c>
      <c r="K58" s="91" t="inlineStr">
        <is>
          <t>B07</t>
        </is>
      </c>
      <c r="L58" s="91" t="inlineStr">
        <is>
          <t>Unknown</t>
        </is>
      </c>
      <c r="M58" s="91" t="inlineStr">
        <is>
          <t>06/09/2026</t>
        </is>
      </c>
      <c r="N58" s="91" t="inlineStr">
        <is>
          <t>YES</t>
        </is>
      </c>
      <c r="O58" s="91" t="inlineStr">
        <is>
          <t>PENDING</t>
        </is>
      </c>
      <c r="P58" s="91" t="inlineStr">
        <is>
          <t>B07</t>
        </is>
      </c>
      <c r="Q58" s="91" t="n">
        <v>1</v>
      </c>
      <c r="R58" s="91" t="inlineStr">
        <is>
          <t>NO</t>
        </is>
      </c>
      <c r="S58" s="91" t="inlineStr">
        <is>
          <t>NO</t>
        </is>
      </c>
      <c r="T58" s="91" t="inlineStr">
        <is>
          <t>NO</t>
        </is>
      </c>
      <c r="U58" s="91" t="inlineStr">
        <is>
          <t>NO</t>
        </is>
      </c>
      <c r="V58" s="91" t="inlineStr">
        <is>
          <t>Type 2 survey. Faults: seals=Unable to open door to check., closer=Unable to open door to check | FLAG: Unable to inspect hinges/ironmongery | FLAG: Unable to inspect seals | FLAG: Unable to inspect closer</t>
        </is>
      </c>
    </row>
  </sheetData>
  <mergeCells count="2">
    <mergeCell ref="A2:V2"/>
    <mergeCell ref="A1:V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0"/>
  <sheetViews>
    <sheetView zoomScaleNormal="10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1" sqref="A1"/>
    </sheetView>
  </sheetViews>
  <sheetFormatPr baseColWidth="8" defaultColWidth="8.6328125" defaultRowHeight="14.5"/>
  <cols>
    <col width="7" customWidth="1" min="1" max="1"/>
    <col width="60" customWidth="1" min="2" max="2"/>
    <col width="6" customWidth="1" min="3" max="4"/>
    <col width="11" customWidth="1" min="5" max="5"/>
    <col width="12" customWidth="1" min="6" max="6"/>
    <col width="10" customWidth="1" min="7" max="7"/>
    <col width="12" customWidth="1" min="8" max="8"/>
    <col width="10" customWidth="1" min="9" max="9"/>
    <col width="12" customWidth="1" min="10" max="10"/>
    <col width="10" customWidth="1" min="11" max="11"/>
    <col width="12" customWidth="1" min="12" max="12"/>
    <col width="10" customWidth="1" min="13" max="13"/>
    <col width="12" customWidth="1" min="14" max="15"/>
    <col width="11" customWidth="1" min="16" max="16"/>
    <col width="9" customWidth="1" min="17" max="18"/>
  </cols>
  <sheetData>
    <row r="1" ht="21.75" customHeight="1">
      <c r="A1" s="4" t="inlineStr">
        <is>
          <t>FIRE DOOR REMEDIAL WORKS — QUOTE SHEET</t>
        </is>
      </c>
    </row>
    <row r="2">
      <c r="A2" s="31" t="inlineStr">
        <is>
          <t>Quote Ref:</t>
        </is>
      </c>
      <c r="B2" t="inlineStr">
        <is>
          <t>WP-2026-001</t>
        </is>
      </c>
      <c r="Q2" s="32" t="inlineStr">
        <is>
          <t>TARGET MARGIN:</t>
        </is>
      </c>
      <c r="R2" s="33" t="n">
        <v>0.35</v>
      </c>
    </row>
    <row r="3">
      <c r="A3" s="31" t="inlineStr">
        <is>
          <t>Date:</t>
        </is>
      </c>
      <c r="B3" t="inlineStr">
        <is>
          <t>06/03/2026</t>
        </is>
      </c>
    </row>
    <row r="4">
      <c r="A4" s="31" t="inlineStr">
        <is>
          <t>Client:</t>
        </is>
      </c>
      <c r="B4" t="inlineStr">
        <is>
          <t>AlphaSights</t>
        </is>
      </c>
    </row>
    <row r="5">
      <c r="A5" s="31" t="inlineStr">
        <is>
          <t>Site:</t>
        </is>
      </c>
      <c r="B5" t="inlineStr">
        <is>
          <t>Thames Court</t>
        </is>
      </c>
    </row>
    <row r="6">
      <c r="A6" s="31" t="inlineStr">
        <is>
          <t>Building:</t>
        </is>
      </c>
      <c r="B6" t="inlineStr">
        <is>
          <t>1 Queenhithe, London EC4V 3DX</t>
        </is>
      </c>
    </row>
    <row r="8" ht="18" customHeight="1">
      <c r="A8" s="9" t="inlineStr">
        <is>
          <t>ITEM</t>
        </is>
      </c>
      <c r="B8" s="9" t="inlineStr">
        <is>
          <t>DESCRIPTION</t>
        </is>
      </c>
      <c r="C8" s="9" t="inlineStr">
        <is>
          <t>QTY</t>
        </is>
      </c>
      <c r="D8" s="9" t="inlineStr">
        <is>
          <t>UNIT</t>
        </is>
      </c>
      <c r="E8" s="9" t="inlineStr">
        <is>
          <t>RATE</t>
        </is>
      </c>
      <c r="F8" s="9" t="inlineStr">
        <is>
          <t>TOTAL</t>
        </is>
      </c>
      <c r="G8" s="34" t="inlineStr">
        <is>
          <t>MAT'S</t>
        </is>
      </c>
      <c r="H8" s="34" t="inlineStr">
        <is>
          <t>MAT'S TOTAL</t>
        </is>
      </c>
      <c r="I8" s="34" t="inlineStr">
        <is>
          <t>LAB</t>
        </is>
      </c>
      <c r="J8" s="34" t="inlineStr">
        <is>
          <t>LAB TOTAL</t>
        </is>
      </c>
      <c r="K8" s="34" t="inlineStr">
        <is>
          <t>T &amp; J</t>
        </is>
      </c>
      <c r="L8" s="34" t="inlineStr">
        <is>
          <t>T &amp; J TOTAL</t>
        </is>
      </c>
      <c r="M8" s="34" t="inlineStr">
        <is>
          <t>HUMP</t>
        </is>
      </c>
      <c r="N8" s="34" t="inlineStr">
        <is>
          <t>HUMP TOTAL</t>
        </is>
      </c>
      <c r="O8" s="9" t="inlineStr">
        <is>
          <t>TOTAL COST</t>
        </is>
      </c>
      <c r="P8" s="9" t="inlineStr">
        <is>
          <t>PROFIT</t>
        </is>
      </c>
      <c r="Q8" s="9" t="inlineStr">
        <is>
          <t>% MARGIN</t>
        </is>
      </c>
      <c r="R8" s="9" t="inlineStr">
        <is>
          <t>% PROFIT</t>
        </is>
      </c>
    </row>
    <row r="9" ht="16.5" customHeight="1">
      <c r="A9" s="35" t="inlineStr">
        <is>
          <t>OPT A</t>
        </is>
      </c>
      <c r="B9" s="36" t="inlineStr">
        <is>
          <t>OPTION A — Remedial Works Only  |  Does NOT produce a certified fire door set</t>
        </is>
      </c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</row>
    <row r="10" ht="12.75" customHeight="1">
      <c r="B10" s="38" t="inlineStr">
        <is>
          <t>Quantities = doors marked YES in Door Schedule Option A column. Type 2 (Excel) surveys populate this section.</t>
        </is>
      </c>
    </row>
    <row r="11" ht="15.75" customHeight="1">
      <c r="A11" s="39" t="inlineStr">
        <is>
          <t>A.01</t>
        </is>
      </c>
      <c r="B11" s="13" t="inlineStr">
        <is>
          <t>Supply &amp; fit intumescent + smoke seals</t>
        </is>
      </c>
      <c r="C11" s="40">
        <f>COUNTIFS('Door Schedule'!$P:$P,"B01",'Door Schedule'!$N:$N,"YES")</f>
        <v/>
      </c>
      <c r="D11" s="14" t="inlineStr">
        <is>
          <t>no</t>
        </is>
      </c>
      <c r="E11" s="41">
        <f>IFERROR(VLOOKUP("B01",'Rate Card'!$A:$H,8,FALSE()),0)</f>
        <v/>
      </c>
      <c r="F11" s="42">
        <f>IF(C11=0,0,C11*E11)</f>
        <v/>
      </c>
      <c r="G11" s="43">
        <f>IFERROR(VLOOKUP("B01",'Rate Card'!$A:$H,4,FALSE()),0)</f>
        <v/>
      </c>
      <c r="H11" s="44">
        <f>IF(C11=0,0,C11*G11)</f>
        <v/>
      </c>
      <c r="I11" s="43">
        <f>IFERROR(VLOOKUP("B01",'Rate Card'!$A:$H,5,FALSE()),0)</f>
        <v/>
      </c>
      <c r="J11" s="44">
        <f>IF(C11=0,0,C11*I11)</f>
        <v/>
      </c>
      <c r="K11" s="43">
        <f>IFERROR(VLOOKUP("B01",'Rate Card'!$A:$H,6,FALSE()),0)</f>
        <v/>
      </c>
      <c r="L11" s="44">
        <f>IF(C11=0,0,C11*K11)</f>
        <v/>
      </c>
      <c r="M11" s="43">
        <f>IFERROR(VLOOKUP("B01",'Rate Card'!$A:$H,7,FALSE()),0)</f>
        <v/>
      </c>
      <c r="N11" s="44">
        <f>IF(C11=0,0,C11*M11)</f>
        <v/>
      </c>
      <c r="O11" s="44">
        <f>SUM(H11,J11,L11,N11)</f>
        <v/>
      </c>
      <c r="P11" s="44">
        <f>F11-O11</f>
        <v/>
      </c>
      <c r="Q11" s="45">
        <f>IF(F11=0,0,P11/F11)</f>
        <v/>
      </c>
      <c r="R11" s="45">
        <f>IF(O11=0,0,P11/O11)</f>
        <v/>
      </c>
    </row>
    <row r="12" ht="15.75" customHeight="1">
      <c r="A12" s="46" t="inlineStr">
        <is>
          <t>A.02</t>
        </is>
      </c>
      <c r="B12" s="19" t="inlineStr">
        <is>
          <t>Supply &amp; fit intumescent seals only</t>
        </is>
      </c>
      <c r="C12" s="47">
        <f>COUNTIFS('Door Schedule'!$P:$P,"B02",'Door Schedule'!$N:$N,"YES")</f>
        <v/>
      </c>
      <c r="D12" s="20" t="inlineStr">
        <is>
          <t>no</t>
        </is>
      </c>
      <c r="E12" s="48">
        <f>IFERROR(VLOOKUP("B02",'Rate Card'!$A:$H,8,FALSE()),0)</f>
        <v/>
      </c>
      <c r="F12" s="49">
        <f>IF(C12=0,0,C12*E12)</f>
        <v/>
      </c>
      <c r="G12" s="50">
        <f>IFERROR(VLOOKUP("B02",'Rate Card'!$A:$H,4,FALSE()),0)</f>
        <v/>
      </c>
      <c r="H12" s="51">
        <f>IF(C12=0,0,C12*G12)</f>
        <v/>
      </c>
      <c r="I12" s="50">
        <f>IFERROR(VLOOKUP("B02",'Rate Card'!$A:$H,5,FALSE()),0)</f>
        <v/>
      </c>
      <c r="J12" s="51">
        <f>IF(C12=0,0,C12*I12)</f>
        <v/>
      </c>
      <c r="K12" s="50">
        <f>IFERROR(VLOOKUP("B02",'Rate Card'!$A:$H,6,FALSE()),0)</f>
        <v/>
      </c>
      <c r="L12" s="51">
        <f>IF(C12=0,0,C12*K12)</f>
        <v/>
      </c>
      <c r="M12" s="50">
        <f>IFERROR(VLOOKUP("B02",'Rate Card'!$A:$H,7,FALSE()),0)</f>
        <v/>
      </c>
      <c r="N12" s="51">
        <f>IF(C12=0,0,C12*M12)</f>
        <v/>
      </c>
      <c r="O12" s="51">
        <f>SUM(H12,J12,L12,N12)</f>
        <v/>
      </c>
      <c r="P12" s="51">
        <f>F12-O12</f>
        <v/>
      </c>
      <c r="Q12" s="52">
        <f>IF(F12=0,0,P12/F12)</f>
        <v/>
      </c>
      <c r="R12" s="52">
        <f>IF(O12=0,0,P12/O12)</f>
        <v/>
      </c>
    </row>
    <row r="13" ht="15.75" customHeight="1">
      <c r="A13" s="39" t="inlineStr">
        <is>
          <t>A.03</t>
        </is>
      </c>
      <c r="B13" s="13" t="inlineStr">
        <is>
          <t>Replace overhead door closer — supply &amp; fit</t>
        </is>
      </c>
      <c r="C13" s="40">
        <f>COUNTIFS('Door Schedule'!$P:$P,"B03",'Door Schedule'!$N:$N,"YES")</f>
        <v/>
      </c>
      <c r="D13" s="14" t="inlineStr">
        <is>
          <t>no</t>
        </is>
      </c>
      <c r="E13" s="41">
        <f>IFERROR(VLOOKUP("B03",'Rate Card'!$A:$H,8,FALSE()),0)</f>
        <v/>
      </c>
      <c r="F13" s="42">
        <f>IF(C13=0,0,C13*E13)</f>
        <v/>
      </c>
      <c r="G13" s="43">
        <f>IFERROR(VLOOKUP("B03",'Rate Card'!$A:$H,4,FALSE()),0)</f>
        <v/>
      </c>
      <c r="H13" s="44">
        <f>IF(C13=0,0,C13*G13)</f>
        <v/>
      </c>
      <c r="I13" s="43">
        <f>IFERROR(VLOOKUP("B03",'Rate Card'!$A:$H,5,FALSE()),0)</f>
        <v/>
      </c>
      <c r="J13" s="44">
        <f>IF(C13=0,0,C13*I13)</f>
        <v/>
      </c>
      <c r="K13" s="43">
        <f>IFERROR(VLOOKUP("B03",'Rate Card'!$A:$H,6,FALSE()),0)</f>
        <v/>
      </c>
      <c r="L13" s="44">
        <f>IF(C13=0,0,C13*K13)</f>
        <v/>
      </c>
      <c r="M13" s="43">
        <f>IFERROR(VLOOKUP("B03",'Rate Card'!$A:$H,7,FALSE()),0)</f>
        <v/>
      </c>
      <c r="N13" s="44">
        <f>IF(C13=0,0,C13*M13)</f>
        <v/>
      </c>
      <c r="O13" s="44">
        <f>SUM(H13,J13,L13,N13)</f>
        <v/>
      </c>
      <c r="P13" s="44">
        <f>F13-O13</f>
        <v/>
      </c>
      <c r="Q13" s="45">
        <f>IF(F13=0,0,P13/F13)</f>
        <v/>
      </c>
      <c r="R13" s="45">
        <f>IF(O13=0,0,P13/O13)</f>
        <v/>
      </c>
    </row>
    <row r="14" ht="15.75" customHeight="1">
      <c r="A14" s="46" t="inlineStr">
        <is>
          <t>A.04</t>
        </is>
      </c>
      <c r="B14" s="19" t="inlineStr">
        <is>
          <t>Replace / fix hinge set</t>
        </is>
      </c>
      <c r="C14" s="47">
        <f>COUNTIFS('Door Schedule'!$P:$P,"B04",'Door Schedule'!$N:$N,"YES")</f>
        <v/>
      </c>
      <c r="D14" s="20" t="inlineStr">
        <is>
          <t>no</t>
        </is>
      </c>
      <c r="E14" s="48">
        <f>IFERROR(VLOOKUP("B04",'Rate Card'!$A:$H,8,FALSE()),0)</f>
        <v/>
      </c>
      <c r="F14" s="49">
        <f>IF(C14=0,0,C14*E14)</f>
        <v/>
      </c>
      <c r="G14" s="50">
        <f>IFERROR(VLOOKUP("B04",'Rate Card'!$A:$H,4,FALSE()),0)</f>
        <v/>
      </c>
      <c r="H14" s="51">
        <f>IF(C14=0,0,C14*G14)</f>
        <v/>
      </c>
      <c r="I14" s="50">
        <f>IFERROR(VLOOKUP("B04",'Rate Card'!$A:$H,5,FALSE()),0)</f>
        <v/>
      </c>
      <c r="J14" s="51">
        <f>IF(C14=0,0,C14*I14)</f>
        <v/>
      </c>
      <c r="K14" s="50">
        <f>IFERROR(VLOOKUP("B04",'Rate Card'!$A:$H,6,FALSE()),0)</f>
        <v/>
      </c>
      <c r="L14" s="51">
        <f>IF(C14=0,0,C14*K14)</f>
        <v/>
      </c>
      <c r="M14" s="50">
        <f>IFERROR(VLOOKUP("B04",'Rate Card'!$A:$H,7,FALSE()),0)</f>
        <v/>
      </c>
      <c r="N14" s="51">
        <f>IF(C14=0,0,C14*M14)</f>
        <v/>
      </c>
      <c r="O14" s="51">
        <f>SUM(H14,J14,L14,N14)</f>
        <v/>
      </c>
      <c r="P14" s="51">
        <f>F14-O14</f>
        <v/>
      </c>
      <c r="Q14" s="52">
        <f>IF(F14=0,0,P14/F14)</f>
        <v/>
      </c>
      <c r="R14" s="52">
        <f>IF(O14=0,0,P14/O14)</f>
        <v/>
      </c>
    </row>
    <row r="15" ht="15.75" customHeight="1">
      <c r="A15" s="39" t="inlineStr">
        <is>
          <t>A.05</t>
        </is>
      </c>
      <c r="B15" s="13" t="inlineStr">
        <is>
          <t>Replace lever handles / latch set</t>
        </is>
      </c>
      <c r="C15" s="40">
        <f>COUNTIFS('Door Schedule'!$P:$P,"B05",'Door Schedule'!$N:$N,"YES")</f>
        <v/>
      </c>
      <c r="D15" s="14" t="inlineStr">
        <is>
          <t>no</t>
        </is>
      </c>
      <c r="E15" s="41">
        <f>IFERROR(VLOOKUP("B05",'Rate Card'!$A:$H,8,FALSE()),0)</f>
        <v/>
      </c>
      <c r="F15" s="42">
        <f>IF(C15=0,0,C15*E15)</f>
        <v/>
      </c>
      <c r="G15" s="43">
        <f>IFERROR(VLOOKUP("B05",'Rate Card'!$A:$H,4,FALSE()),0)</f>
        <v/>
      </c>
      <c r="H15" s="44">
        <f>IF(C15=0,0,C15*G15)</f>
        <v/>
      </c>
      <c r="I15" s="43">
        <f>IFERROR(VLOOKUP("B05",'Rate Card'!$A:$H,5,FALSE()),0)</f>
        <v/>
      </c>
      <c r="J15" s="44">
        <f>IF(C15=0,0,C15*I15)</f>
        <v/>
      </c>
      <c r="K15" s="43">
        <f>IFERROR(VLOOKUP("B05",'Rate Card'!$A:$H,6,FALSE()),0)</f>
        <v/>
      </c>
      <c r="L15" s="44">
        <f>IF(C15=0,0,C15*K15)</f>
        <v/>
      </c>
      <c r="M15" s="43">
        <f>IFERROR(VLOOKUP("B05",'Rate Card'!$A:$H,7,FALSE()),0)</f>
        <v/>
      </c>
      <c r="N15" s="44">
        <f>IF(C15=0,0,C15*M15)</f>
        <v/>
      </c>
      <c r="O15" s="44">
        <f>SUM(H15,J15,L15,N15)</f>
        <v/>
      </c>
      <c r="P15" s="44">
        <f>F15-O15</f>
        <v/>
      </c>
      <c r="Q15" s="45">
        <f>IF(F15=0,0,P15/F15)</f>
        <v/>
      </c>
      <c r="R15" s="45">
        <f>IF(O15=0,0,P15/O15)</f>
        <v/>
      </c>
    </row>
    <row r="16" ht="15.75" customHeight="1">
      <c r="A16" s="46" t="inlineStr">
        <is>
          <t>A.06</t>
        </is>
      </c>
      <c r="B16" s="19" t="inlineStr">
        <is>
          <t>Fire-stop frame-to-wall gap</t>
        </is>
      </c>
      <c r="C16" s="47">
        <f>COUNTIFS('Door Schedule'!$P:$P,"B06",'Door Schedule'!$N:$N,"YES")</f>
        <v/>
      </c>
      <c r="D16" s="20" t="inlineStr">
        <is>
          <t>no</t>
        </is>
      </c>
      <c r="E16" s="48">
        <f>IFERROR(VLOOKUP("B06",'Rate Card'!$A:$H,8,FALSE()),0)</f>
        <v/>
      </c>
      <c r="F16" s="49">
        <f>IF(C16=0,0,C16*E16)</f>
        <v/>
      </c>
      <c r="G16" s="50">
        <f>IFERROR(VLOOKUP("B06",'Rate Card'!$A:$H,4,FALSE()),0)</f>
        <v/>
      </c>
      <c r="H16" s="51">
        <f>IF(C16=0,0,C16*G16)</f>
        <v/>
      </c>
      <c r="I16" s="50">
        <f>IFERROR(VLOOKUP("B06",'Rate Card'!$A:$H,5,FALSE()),0)</f>
        <v/>
      </c>
      <c r="J16" s="51">
        <f>IF(C16=0,0,C16*I16)</f>
        <v/>
      </c>
      <c r="K16" s="50">
        <f>IFERROR(VLOOKUP("B06",'Rate Card'!$A:$H,6,FALSE()),0)</f>
        <v/>
      </c>
      <c r="L16" s="51">
        <f>IF(C16=0,0,C16*K16)</f>
        <v/>
      </c>
      <c r="M16" s="50">
        <f>IFERROR(VLOOKUP("B06",'Rate Card'!$A:$H,7,FALSE()),0)</f>
        <v/>
      </c>
      <c r="N16" s="51">
        <f>IF(C16=0,0,C16*M16)</f>
        <v/>
      </c>
      <c r="O16" s="51">
        <f>SUM(H16,J16,L16,N16)</f>
        <v/>
      </c>
      <c r="P16" s="51">
        <f>F16-O16</f>
        <v/>
      </c>
      <c r="Q16" s="52">
        <f>IF(F16=0,0,P16/F16)</f>
        <v/>
      </c>
      <c r="R16" s="52">
        <f>IF(O16=0,0,P16/O16)</f>
        <v/>
      </c>
    </row>
    <row r="17" ht="15.75" customHeight="1">
      <c r="A17" s="39" t="inlineStr">
        <is>
          <t>A.07</t>
        </is>
      </c>
      <c r="B17" s="13" t="inlineStr">
        <is>
          <t>Add / replace fire door signage</t>
        </is>
      </c>
      <c r="C17" s="40">
        <f>COUNTIFS('Door Schedule'!$P:$P,"B07",'Door Schedule'!$N:$N,"YES")</f>
        <v/>
      </c>
      <c r="D17" s="14" t="inlineStr">
        <is>
          <t>no</t>
        </is>
      </c>
      <c r="E17" s="41">
        <f>IFERROR(VLOOKUP("B07",'Rate Card'!$A:$H,8,FALSE()),0)</f>
        <v/>
      </c>
      <c r="F17" s="42">
        <f>IF(C17=0,0,C17*E17)</f>
        <v/>
      </c>
      <c r="G17" s="43">
        <f>IFERROR(VLOOKUP("B07",'Rate Card'!$A:$H,4,FALSE()),0)</f>
        <v/>
      </c>
      <c r="H17" s="44">
        <f>IF(C17=0,0,C17*G17)</f>
        <v/>
      </c>
      <c r="I17" s="43">
        <f>IFERROR(VLOOKUP("B07",'Rate Card'!$A:$H,5,FALSE()),0)</f>
        <v/>
      </c>
      <c r="J17" s="44">
        <f>IF(C17=0,0,C17*I17)</f>
        <v/>
      </c>
      <c r="K17" s="43">
        <f>IFERROR(VLOOKUP("B07",'Rate Card'!$A:$H,6,FALSE()),0)</f>
        <v/>
      </c>
      <c r="L17" s="44">
        <f>IF(C17=0,0,C17*K17)</f>
        <v/>
      </c>
      <c r="M17" s="43">
        <f>IFERROR(VLOOKUP("B07",'Rate Card'!$A:$H,7,FALSE()),0)</f>
        <v/>
      </c>
      <c r="N17" s="44">
        <f>IF(C17=0,0,C17*M17)</f>
        <v/>
      </c>
      <c r="O17" s="44">
        <f>SUM(H17,J17,L17,N17)</f>
        <v/>
      </c>
      <c r="P17" s="44">
        <f>F17-O17</f>
        <v/>
      </c>
      <c r="Q17" s="45">
        <f>IF(F17=0,0,P17/F17)</f>
        <v/>
      </c>
      <c r="R17" s="45">
        <f>IF(O17=0,0,P17/O17)</f>
        <v/>
      </c>
    </row>
    <row r="18" ht="15.75" customHeight="1">
      <c r="A18" s="46" t="inlineStr">
        <is>
          <t>A.08</t>
        </is>
      </c>
      <c r="B18" s="19" t="inlineStr">
        <is>
          <t>Supply &amp; fit electromagnetic hold-open device</t>
        </is>
      </c>
      <c r="C18" s="47">
        <f>COUNTIFS('Door Schedule'!$P:$P,"B08",'Door Schedule'!$N:$N,"YES")</f>
        <v/>
      </c>
      <c r="D18" s="20" t="inlineStr">
        <is>
          <t>no</t>
        </is>
      </c>
      <c r="E18" s="48">
        <f>IFERROR(VLOOKUP("B08",'Rate Card'!$A:$H,8,FALSE()),0)</f>
        <v/>
      </c>
      <c r="F18" s="49">
        <f>IF(C18=0,0,C18*E18)</f>
        <v/>
      </c>
      <c r="G18" s="50">
        <f>IFERROR(VLOOKUP("B08",'Rate Card'!$A:$H,4,FALSE()),0)</f>
        <v/>
      </c>
      <c r="H18" s="51">
        <f>IF(C18=0,0,C18*G18)</f>
        <v/>
      </c>
      <c r="I18" s="50">
        <f>IFERROR(VLOOKUP("B08",'Rate Card'!$A:$H,5,FALSE()),0)</f>
        <v/>
      </c>
      <c r="J18" s="51">
        <f>IF(C18=0,0,C18*I18)</f>
        <v/>
      </c>
      <c r="K18" s="50">
        <f>IFERROR(VLOOKUP("B08",'Rate Card'!$A:$H,6,FALSE()),0)</f>
        <v/>
      </c>
      <c r="L18" s="51">
        <f>IF(C18=0,0,C18*K18)</f>
        <v/>
      </c>
      <c r="M18" s="50">
        <f>IFERROR(VLOOKUP("B08",'Rate Card'!$A:$H,7,FALSE()),0)</f>
        <v/>
      </c>
      <c r="N18" s="51">
        <f>IF(C18=0,0,C18*M18)</f>
        <v/>
      </c>
      <c r="O18" s="51">
        <f>SUM(H18,J18,L18,N18)</f>
        <v/>
      </c>
      <c r="P18" s="51">
        <f>F18-O18</f>
        <v/>
      </c>
      <c r="Q18" s="52">
        <f>IF(F18=0,0,P18/F18)</f>
        <v/>
      </c>
      <c r="R18" s="52">
        <f>IF(O18=0,0,P18/O18)</f>
        <v/>
      </c>
    </row>
    <row r="19" ht="15.75" customHeight="1">
      <c r="A19" s="39" t="inlineStr">
        <is>
          <t>A.09</t>
        </is>
      </c>
      <c r="B19" s="13" t="inlineStr">
        <is>
          <t>Replace threshold / drop seal</t>
        </is>
      </c>
      <c r="C19" s="40">
        <f>COUNTIFS('Door Schedule'!$P:$P,"B09",'Door Schedule'!$N:$N,"YES")</f>
        <v/>
      </c>
      <c r="D19" s="14" t="inlineStr">
        <is>
          <t>no</t>
        </is>
      </c>
      <c r="E19" s="41">
        <f>IFERROR(VLOOKUP("B09",'Rate Card'!$A:$H,8,FALSE()),0)</f>
        <v/>
      </c>
      <c r="F19" s="42">
        <f>IF(C19=0,0,C19*E19)</f>
        <v/>
      </c>
      <c r="G19" s="43">
        <f>IFERROR(VLOOKUP("B09",'Rate Card'!$A:$H,4,FALSE()),0)</f>
        <v/>
      </c>
      <c r="H19" s="44">
        <f>IF(C19=0,0,C19*G19)</f>
        <v/>
      </c>
      <c r="I19" s="43">
        <f>IFERROR(VLOOKUP("B09",'Rate Card'!$A:$H,5,FALSE()),0)</f>
        <v/>
      </c>
      <c r="J19" s="44">
        <f>IF(C19=0,0,C19*I19)</f>
        <v/>
      </c>
      <c r="K19" s="43">
        <f>IFERROR(VLOOKUP("B09",'Rate Card'!$A:$H,6,FALSE()),0)</f>
        <v/>
      </c>
      <c r="L19" s="44">
        <f>IF(C19=0,0,C19*K19)</f>
        <v/>
      </c>
      <c r="M19" s="43">
        <f>IFERROR(VLOOKUP("B09",'Rate Card'!$A:$H,7,FALSE()),0)</f>
        <v/>
      </c>
      <c r="N19" s="44">
        <f>IF(C19=0,0,C19*M19)</f>
        <v/>
      </c>
      <c r="O19" s="44">
        <f>SUM(H19,J19,L19,N19)</f>
        <v/>
      </c>
      <c r="P19" s="44">
        <f>F19-O19</f>
        <v/>
      </c>
      <c r="Q19" s="45">
        <f>IF(F19=0,0,P19/F19)</f>
        <v/>
      </c>
      <c r="R19" s="45">
        <f>IF(O19=0,0,P19/O19)</f>
        <v/>
      </c>
    </row>
    <row r="20" ht="15.75" customHeight="1">
      <c r="A20" s="46" t="inlineStr">
        <is>
          <t>A.10</t>
        </is>
      </c>
      <c r="B20" s="19" t="inlineStr">
        <is>
          <t>Adjust / re-hang door leaf</t>
        </is>
      </c>
      <c r="C20" s="47">
        <f>COUNTIFS('Door Schedule'!$P:$P,"B10",'Door Schedule'!$N:$N,"YES")</f>
        <v/>
      </c>
      <c r="D20" s="20" t="inlineStr">
        <is>
          <t>no</t>
        </is>
      </c>
      <c r="E20" s="48">
        <f>IFERROR(VLOOKUP("B10",'Rate Card'!$A:$H,8,FALSE()),0)</f>
        <v/>
      </c>
      <c r="F20" s="49">
        <f>IF(C20=0,0,C20*E20)</f>
        <v/>
      </c>
      <c r="G20" s="50">
        <f>IFERROR(VLOOKUP("B10",'Rate Card'!$A:$H,4,FALSE()),0)</f>
        <v/>
      </c>
      <c r="H20" s="51">
        <f>IF(C20=0,0,C20*G20)</f>
        <v/>
      </c>
      <c r="I20" s="50">
        <f>IFERROR(VLOOKUP("B10",'Rate Card'!$A:$H,5,FALSE()),0)</f>
        <v/>
      </c>
      <c r="J20" s="51">
        <f>IF(C20=0,0,C20*I20)</f>
        <v/>
      </c>
      <c r="K20" s="50">
        <f>IFERROR(VLOOKUP("B10",'Rate Card'!$A:$H,6,FALSE()),0)</f>
        <v/>
      </c>
      <c r="L20" s="51">
        <f>IF(C20=0,0,C20*K20)</f>
        <v/>
      </c>
      <c r="M20" s="50">
        <f>IFERROR(VLOOKUP("B10",'Rate Card'!$A:$H,7,FALSE()),0)</f>
        <v/>
      </c>
      <c r="N20" s="51">
        <f>IF(C20=0,0,C20*M20)</f>
        <v/>
      </c>
      <c r="O20" s="51">
        <f>SUM(H20,J20,L20,N20)</f>
        <v/>
      </c>
      <c r="P20" s="51">
        <f>F20-O20</f>
        <v/>
      </c>
      <c r="Q20" s="52">
        <f>IF(F20=0,0,P20/F20)</f>
        <v/>
      </c>
      <c r="R20" s="52">
        <f>IF(O20=0,0,P20/O20)</f>
        <v/>
      </c>
    </row>
    <row r="21" ht="15.75" customHeight="1">
      <c r="A21" s="39" t="inlineStr">
        <is>
          <t>A.11</t>
        </is>
      </c>
      <c r="B21" s="13" t="inlineStr">
        <is>
          <t>Door lipping repair (hardwood re-lip) *** B11</t>
        </is>
      </c>
      <c r="C21" s="40">
        <f>COUNTIFS('Door Schedule'!$P:$P,"B11",'Door Schedule'!$N:$N,"YES")</f>
        <v/>
      </c>
      <c r="D21" s="14" t="inlineStr">
        <is>
          <t>no</t>
        </is>
      </c>
      <c r="E21" s="41">
        <f>IFERROR(VLOOKUP("B11",'Rate Card'!$A:$H,8,FALSE()),0)</f>
        <v/>
      </c>
      <c r="F21" s="42">
        <f>IF(C21=0,0,C21*E21)</f>
        <v/>
      </c>
      <c r="G21" s="43">
        <f>IFERROR(VLOOKUP("B11",'Rate Card'!$A:$H,4,FALSE()),0)</f>
        <v/>
      </c>
      <c r="H21" s="44">
        <f>IF(C21=0,0,C21*G21)</f>
        <v/>
      </c>
      <c r="I21" s="43">
        <f>IFERROR(VLOOKUP("B11",'Rate Card'!$A:$H,5,FALSE()),0)</f>
        <v/>
      </c>
      <c r="J21" s="44">
        <f>IF(C21=0,0,C21*I21)</f>
        <v/>
      </c>
      <c r="K21" s="43">
        <f>IFERROR(VLOOKUP("B11",'Rate Card'!$A:$H,6,FALSE()),0)</f>
        <v/>
      </c>
      <c r="L21" s="44">
        <f>IF(C21=0,0,C21*K21)</f>
        <v/>
      </c>
      <c r="M21" s="43">
        <f>IFERROR(VLOOKUP("B11",'Rate Card'!$A:$H,7,FALSE()),0)</f>
        <v/>
      </c>
      <c r="N21" s="44">
        <f>IF(C21=0,0,C21*M21)</f>
        <v/>
      </c>
      <c r="O21" s="44">
        <f>SUM(H21,J21,L21,N21)</f>
        <v/>
      </c>
      <c r="P21" s="44">
        <f>F21-O21</f>
        <v/>
      </c>
      <c r="Q21" s="45">
        <f>IF(F21=0,0,P21/F21)</f>
        <v/>
      </c>
      <c r="R21" s="45">
        <f>IF(O21=0,0,P21/O21)</f>
        <v/>
      </c>
    </row>
    <row r="22" ht="15.75" customHeight="1">
      <c r="A22" s="46" t="inlineStr">
        <is>
          <t>A.12</t>
        </is>
      </c>
      <c r="B22" s="19" t="inlineStr">
        <is>
          <t>Door leaf void infill (hardwood timber insert) *** B12</t>
        </is>
      </c>
      <c r="C22" s="47">
        <f>COUNTIFS('Door Schedule'!$P:$P,"B12",'Door Schedule'!$N:$N,"YES")</f>
        <v/>
      </c>
      <c r="D22" s="20" t="inlineStr">
        <is>
          <t>no</t>
        </is>
      </c>
      <c r="E22" s="48">
        <f>IFERROR(VLOOKUP("B12",'Rate Card'!$A:$H,8,FALSE()),0)</f>
        <v/>
      </c>
      <c r="F22" s="49">
        <f>IF(C22=0,0,C22*E22)</f>
        <v/>
      </c>
      <c r="G22" s="50">
        <f>IFERROR(VLOOKUP("B12",'Rate Card'!$A:$H,4,FALSE()),0)</f>
        <v/>
      </c>
      <c r="H22" s="51">
        <f>IF(C22=0,0,C22*G22)</f>
        <v/>
      </c>
      <c r="I22" s="50">
        <f>IFERROR(VLOOKUP("B12",'Rate Card'!$A:$H,5,FALSE()),0)</f>
        <v/>
      </c>
      <c r="J22" s="51">
        <f>IF(C22=0,0,C22*I22)</f>
        <v/>
      </c>
      <c r="K22" s="50">
        <f>IFERROR(VLOOKUP("B12",'Rate Card'!$A:$H,6,FALSE()),0)</f>
        <v/>
      </c>
      <c r="L22" s="51">
        <f>IF(C22=0,0,C22*K22)</f>
        <v/>
      </c>
      <c r="M22" s="50">
        <f>IFERROR(VLOOKUP("B12",'Rate Card'!$A:$H,7,FALSE()),0)</f>
        <v/>
      </c>
      <c r="N22" s="51">
        <f>IF(C22=0,0,C22*M22)</f>
        <v/>
      </c>
      <c r="O22" s="51">
        <f>SUM(H22,J22,L22,N22)</f>
        <v/>
      </c>
      <c r="P22" s="51">
        <f>F22-O22</f>
        <v/>
      </c>
      <c r="Q22" s="52">
        <f>IF(F22=0,0,P22/F22)</f>
        <v/>
      </c>
      <c r="R22" s="52">
        <f>IF(O22=0,0,P22/O22)</f>
        <v/>
      </c>
    </row>
    <row r="24" ht="16.5" customHeight="1">
      <c r="A24" s="53" t="inlineStr">
        <is>
          <t>OPT B</t>
        </is>
      </c>
      <c r="B24" s="54" t="inlineStr">
        <is>
          <t>OPTION B — Full Door Replacement  |  Certified fire door sets — RECOMMENDED</t>
        </is>
      </c>
      <c r="C24" s="55" t="n"/>
      <c r="D24" s="55" t="n"/>
      <c r="E24" s="55" t="n"/>
      <c r="F24" s="55" t="n"/>
      <c r="G24" s="55" t="n"/>
      <c r="H24" s="55" t="n"/>
      <c r="I24" s="55" t="n"/>
      <c r="J24" s="55" t="n"/>
      <c r="K24" s="55" t="n"/>
      <c r="L24" s="55" t="n"/>
      <c r="M24" s="55" t="n"/>
      <c r="N24" s="55" t="n"/>
      <c r="O24" s="55" t="n"/>
      <c r="P24" s="55" t="n"/>
      <c r="Q24" s="55" t="n"/>
      <c r="R24" s="55" t="n"/>
    </row>
    <row r="25" ht="12.75" customHeight="1">
      <c r="B25" s="38" t="inlineStr">
        <is>
          <t>Quantities = doors marked YES in Door Schedule Option B column, by BASE ITEM code. Type 2 surveys show PENDING — fire strategy required.</t>
        </is>
      </c>
    </row>
    <row r="26" ht="15.75" customHeight="1">
      <c r="A26" s="39" t="inlineStr">
        <is>
          <t>B.01</t>
        </is>
      </c>
      <c r="B26" s="13" t="inlineStr">
        <is>
          <t>FD30 — Single Leaf, Paint Grade, Height up to 2040mm</t>
        </is>
      </c>
      <c r="C26" s="40">
        <f>COUNTIFS('Door Schedule'!$P:$P,"A01",'Door Schedule'!$O:$O,"YES")</f>
        <v/>
      </c>
      <c r="D26" s="14" t="inlineStr">
        <is>
          <t>no</t>
        </is>
      </c>
      <c r="E26" s="41">
        <f>IFERROR(VLOOKUP("A01",'Rate Card'!$A:$H,8,FALSE()),0)</f>
        <v/>
      </c>
      <c r="F26" s="42">
        <f>IF(C26=0,0,C26*E26)</f>
        <v/>
      </c>
      <c r="G26" s="43">
        <f>IFERROR(VLOOKUP("A01",'Rate Card'!$A:$H,4,FALSE()),0)</f>
        <v/>
      </c>
      <c r="H26" s="44">
        <f>IF(C26=0,0,C26*G26)</f>
        <v/>
      </c>
      <c r="I26" s="43">
        <f>IFERROR(VLOOKUP("A01",'Rate Card'!$A:$H,5,FALSE()),0)</f>
        <v/>
      </c>
      <c r="J26" s="44">
        <f>IF(C26=0,0,C26*I26)</f>
        <v/>
      </c>
      <c r="K26" s="43">
        <f>IFERROR(VLOOKUP("A01",'Rate Card'!$A:$H,6,FALSE()),0)</f>
        <v/>
      </c>
      <c r="L26" s="44">
        <f>IF(C26=0,0,C26*K26)</f>
        <v/>
      </c>
      <c r="M26" s="43">
        <f>IFERROR(VLOOKUP("A01",'Rate Card'!$A:$H,7,FALSE()),0)</f>
        <v/>
      </c>
      <c r="N26" s="44">
        <f>IF(C26=0,0,C26*M26)</f>
        <v/>
      </c>
      <c r="O26" s="44">
        <f>SUM(H26,J26,L26,N26)</f>
        <v/>
      </c>
      <c r="P26" s="44">
        <f>F26-O26</f>
        <v/>
      </c>
      <c r="Q26" s="45">
        <f>IF(F26=0,0,P26/F26)</f>
        <v/>
      </c>
      <c r="R26" s="45">
        <f>IF(O26=0,0,P26/O26)</f>
        <v/>
      </c>
    </row>
    <row r="27" ht="15.75" customHeight="1">
      <c r="A27" s="46" t="inlineStr">
        <is>
          <t>B.02</t>
        </is>
      </c>
      <c r="B27" s="19" t="inlineStr">
        <is>
          <t>FD30 — Single Leaf, Paint Grade, Height 2040–2400mm</t>
        </is>
      </c>
      <c r="C27" s="47">
        <f>COUNTIFS('Door Schedule'!$P:$P,"A02",'Door Schedule'!$O:$O,"YES")</f>
        <v/>
      </c>
      <c r="D27" s="20" t="inlineStr">
        <is>
          <t>no</t>
        </is>
      </c>
      <c r="E27" s="48">
        <f>IFERROR(VLOOKUP("A02",'Rate Card'!$A:$H,8,FALSE()),0)</f>
        <v/>
      </c>
      <c r="F27" s="49">
        <f>IF(C27=0,0,C27*E27)</f>
        <v/>
      </c>
      <c r="G27" s="50">
        <f>IFERROR(VLOOKUP("A02",'Rate Card'!$A:$H,4,FALSE()),0)</f>
        <v/>
      </c>
      <c r="H27" s="51">
        <f>IF(C27=0,0,C27*G27)</f>
        <v/>
      </c>
      <c r="I27" s="50">
        <f>IFERROR(VLOOKUP("A02",'Rate Card'!$A:$H,5,FALSE()),0)</f>
        <v/>
      </c>
      <c r="J27" s="51">
        <f>IF(C27=0,0,C27*I27)</f>
        <v/>
      </c>
      <c r="K27" s="50">
        <f>IFERROR(VLOOKUP("A02",'Rate Card'!$A:$H,6,FALSE()),0)</f>
        <v/>
      </c>
      <c r="L27" s="51">
        <f>IF(C27=0,0,C27*K27)</f>
        <v/>
      </c>
      <c r="M27" s="50">
        <f>IFERROR(VLOOKUP("A02",'Rate Card'!$A:$H,7,FALSE()),0)</f>
        <v/>
      </c>
      <c r="N27" s="51">
        <f>IF(C27=0,0,C27*M27)</f>
        <v/>
      </c>
      <c r="O27" s="51">
        <f>SUM(H27,J27,L27,N27)</f>
        <v/>
      </c>
      <c r="P27" s="51">
        <f>F27-O27</f>
        <v/>
      </c>
      <c r="Q27" s="52">
        <f>IF(F27=0,0,P27/F27)</f>
        <v/>
      </c>
      <c r="R27" s="52">
        <f>IF(O27=0,0,P27/O27)</f>
        <v/>
      </c>
    </row>
    <row r="28" ht="15.75" customHeight="1">
      <c r="A28" s="39" t="inlineStr">
        <is>
          <t>B.03</t>
        </is>
      </c>
      <c r="B28" s="13" t="inlineStr">
        <is>
          <t>FD30 — Single Leaf, Paint Grade, Height 2400–2730mm</t>
        </is>
      </c>
      <c r="C28" s="40">
        <f>COUNTIFS('Door Schedule'!$P:$P,"A03",'Door Schedule'!$O:$O,"YES")</f>
        <v/>
      </c>
      <c r="D28" s="14" t="inlineStr">
        <is>
          <t>no</t>
        </is>
      </c>
      <c r="E28" s="41">
        <f>IFERROR(VLOOKUP("A03",'Rate Card'!$A:$H,8,FALSE()),0)</f>
        <v/>
      </c>
      <c r="F28" s="42">
        <f>IF(C28=0,0,C28*E28)</f>
        <v/>
      </c>
      <c r="G28" s="43">
        <f>IFERROR(VLOOKUP("A03",'Rate Card'!$A:$H,4,FALSE()),0)</f>
        <v/>
      </c>
      <c r="H28" s="44">
        <f>IF(C28=0,0,C28*G28)</f>
        <v/>
      </c>
      <c r="I28" s="43">
        <f>IFERROR(VLOOKUP("A03",'Rate Card'!$A:$H,5,FALSE()),0)</f>
        <v/>
      </c>
      <c r="J28" s="44">
        <f>IF(C28=0,0,C28*I28)</f>
        <v/>
      </c>
      <c r="K28" s="43">
        <f>IFERROR(VLOOKUP("A03",'Rate Card'!$A:$H,6,FALSE()),0)</f>
        <v/>
      </c>
      <c r="L28" s="44">
        <f>IF(C28=0,0,C28*K28)</f>
        <v/>
      </c>
      <c r="M28" s="43">
        <f>IFERROR(VLOOKUP("A03",'Rate Card'!$A:$H,7,FALSE()),0)</f>
        <v/>
      </c>
      <c r="N28" s="44">
        <f>IF(C28=0,0,C28*M28)</f>
        <v/>
      </c>
      <c r="O28" s="44">
        <f>SUM(H28,J28,L28,N28)</f>
        <v/>
      </c>
      <c r="P28" s="44">
        <f>F28-O28</f>
        <v/>
      </c>
      <c r="Q28" s="45">
        <f>IF(F28=0,0,P28/F28)</f>
        <v/>
      </c>
      <c r="R28" s="45">
        <f>IF(O28=0,0,P28/O28)</f>
        <v/>
      </c>
    </row>
    <row r="29" ht="15.75" customHeight="1">
      <c r="A29" s="46" t="inlineStr">
        <is>
          <t>B.04</t>
        </is>
      </c>
      <c r="B29" s="19" t="inlineStr">
        <is>
          <t>FD30 — Double Leaf, Paint Grade, Height up to 2040mm</t>
        </is>
      </c>
      <c r="C29" s="47">
        <f>COUNTIFS('Door Schedule'!$P:$P,"A04",'Door Schedule'!$O:$O,"YES")</f>
        <v/>
      </c>
      <c r="D29" s="20" t="inlineStr">
        <is>
          <t>no</t>
        </is>
      </c>
      <c r="E29" s="48">
        <f>IFERROR(VLOOKUP("A04",'Rate Card'!$A:$H,8,FALSE()),0)</f>
        <v/>
      </c>
      <c r="F29" s="49">
        <f>IF(C29=0,0,C29*E29)</f>
        <v/>
      </c>
      <c r="G29" s="50">
        <f>IFERROR(VLOOKUP("A04",'Rate Card'!$A:$H,4,FALSE()),0)</f>
        <v/>
      </c>
      <c r="H29" s="51">
        <f>IF(C29=0,0,C29*G29)</f>
        <v/>
      </c>
      <c r="I29" s="50">
        <f>IFERROR(VLOOKUP("A04",'Rate Card'!$A:$H,5,FALSE()),0)</f>
        <v/>
      </c>
      <c r="J29" s="51">
        <f>IF(C29=0,0,C29*I29)</f>
        <v/>
      </c>
      <c r="K29" s="50">
        <f>IFERROR(VLOOKUP("A04",'Rate Card'!$A:$H,6,FALSE()),0)</f>
        <v/>
      </c>
      <c r="L29" s="51">
        <f>IF(C29=0,0,C29*K29)</f>
        <v/>
      </c>
      <c r="M29" s="50">
        <f>IFERROR(VLOOKUP("A04",'Rate Card'!$A:$H,7,FALSE()),0)</f>
        <v/>
      </c>
      <c r="N29" s="51">
        <f>IF(C29=0,0,C29*M29)</f>
        <v/>
      </c>
      <c r="O29" s="51">
        <f>SUM(H29,J29,L29,N29)</f>
        <v/>
      </c>
      <c r="P29" s="51">
        <f>F29-O29</f>
        <v/>
      </c>
      <c r="Q29" s="52">
        <f>IF(F29=0,0,P29/F29)</f>
        <v/>
      </c>
      <c r="R29" s="52">
        <f>IF(O29=0,0,P29/O29)</f>
        <v/>
      </c>
    </row>
    <row r="30" ht="15.75" customHeight="1">
      <c r="A30" s="39" t="inlineStr">
        <is>
          <t>B.05</t>
        </is>
      </c>
      <c r="B30" s="13" t="inlineStr">
        <is>
          <t>FD30S — Single Leaf, Paint Grade + Smoke Seals, Height up to 2040mm</t>
        </is>
      </c>
      <c r="C30" s="40">
        <f>COUNTIFS('Door Schedule'!$P:$P,"A05",'Door Schedule'!$O:$O,"YES")</f>
        <v/>
      </c>
      <c r="D30" s="14" t="inlineStr">
        <is>
          <t>no</t>
        </is>
      </c>
      <c r="E30" s="41">
        <f>IFERROR(VLOOKUP("A05",'Rate Card'!$A:$H,8,FALSE()),0)</f>
        <v/>
      </c>
      <c r="F30" s="42">
        <f>IF(C30=0,0,C30*E30)</f>
        <v/>
      </c>
      <c r="G30" s="43">
        <f>IFERROR(VLOOKUP("A05",'Rate Card'!$A:$H,4,FALSE()),0)</f>
        <v/>
      </c>
      <c r="H30" s="44">
        <f>IF(C30=0,0,C30*G30)</f>
        <v/>
      </c>
      <c r="I30" s="43">
        <f>IFERROR(VLOOKUP("A05",'Rate Card'!$A:$H,5,FALSE()),0)</f>
        <v/>
      </c>
      <c r="J30" s="44">
        <f>IF(C30=0,0,C30*I30)</f>
        <v/>
      </c>
      <c r="K30" s="43">
        <f>IFERROR(VLOOKUP("A05",'Rate Card'!$A:$H,6,FALSE()),0)</f>
        <v/>
      </c>
      <c r="L30" s="44">
        <f>IF(C30=0,0,C30*K30)</f>
        <v/>
      </c>
      <c r="M30" s="43">
        <f>IFERROR(VLOOKUP("A05",'Rate Card'!$A:$H,7,FALSE()),0)</f>
        <v/>
      </c>
      <c r="N30" s="44">
        <f>IF(C30=0,0,C30*M30)</f>
        <v/>
      </c>
      <c r="O30" s="44">
        <f>SUM(H30,J30,L30,N30)</f>
        <v/>
      </c>
      <c r="P30" s="44">
        <f>F30-O30</f>
        <v/>
      </c>
      <c r="Q30" s="45">
        <f>IF(F30=0,0,P30/F30)</f>
        <v/>
      </c>
      <c r="R30" s="45">
        <f>IF(O30=0,0,P30/O30)</f>
        <v/>
      </c>
    </row>
    <row r="31" ht="15.75" customHeight="1">
      <c r="A31" s="46" t="inlineStr">
        <is>
          <t>B.06</t>
        </is>
      </c>
      <c r="B31" s="19" t="inlineStr">
        <is>
          <t>FD30S — Single Leaf, Paint Grade + Smoke Seals, Height 2040–2400mm</t>
        </is>
      </c>
      <c r="C31" s="47">
        <f>COUNTIFS('Door Schedule'!$P:$P,"A06",'Door Schedule'!$O:$O,"YES")</f>
        <v/>
      </c>
      <c r="D31" s="20" t="inlineStr">
        <is>
          <t>no</t>
        </is>
      </c>
      <c r="E31" s="48">
        <f>IFERROR(VLOOKUP("A06",'Rate Card'!$A:$H,8,FALSE()),0)</f>
        <v/>
      </c>
      <c r="F31" s="49">
        <f>IF(C31=0,0,C31*E31)</f>
        <v/>
      </c>
      <c r="G31" s="50">
        <f>IFERROR(VLOOKUP("A06",'Rate Card'!$A:$H,4,FALSE()),0)</f>
        <v/>
      </c>
      <c r="H31" s="51">
        <f>IF(C31=0,0,C31*G31)</f>
        <v/>
      </c>
      <c r="I31" s="50">
        <f>IFERROR(VLOOKUP("A06",'Rate Card'!$A:$H,5,FALSE()),0)</f>
        <v/>
      </c>
      <c r="J31" s="51">
        <f>IF(C31=0,0,C31*I31)</f>
        <v/>
      </c>
      <c r="K31" s="50">
        <f>IFERROR(VLOOKUP("A06",'Rate Card'!$A:$H,6,FALSE()),0)</f>
        <v/>
      </c>
      <c r="L31" s="51">
        <f>IF(C31=0,0,C31*K31)</f>
        <v/>
      </c>
      <c r="M31" s="50">
        <f>IFERROR(VLOOKUP("A06",'Rate Card'!$A:$H,7,FALSE()),0)</f>
        <v/>
      </c>
      <c r="N31" s="51">
        <f>IF(C31=0,0,C31*M31)</f>
        <v/>
      </c>
      <c r="O31" s="51">
        <f>SUM(H31,J31,L31,N31)</f>
        <v/>
      </c>
      <c r="P31" s="51">
        <f>F31-O31</f>
        <v/>
      </c>
      <c r="Q31" s="52">
        <f>IF(F31=0,0,P31/F31)</f>
        <v/>
      </c>
      <c r="R31" s="52">
        <f>IF(O31=0,0,P31/O31)</f>
        <v/>
      </c>
    </row>
    <row r="32" ht="15.75" customHeight="1">
      <c r="A32" s="39" t="inlineStr">
        <is>
          <t>B.07</t>
        </is>
      </c>
      <c r="B32" s="13" t="inlineStr">
        <is>
          <t>FD30S — Single Leaf, Paint Grade + Smoke Seals, Height 2400–2730mm</t>
        </is>
      </c>
      <c r="C32" s="40">
        <f>COUNTIFS('Door Schedule'!$P:$P,"A07",'Door Schedule'!$O:$O,"YES")</f>
        <v/>
      </c>
      <c r="D32" s="14" t="inlineStr">
        <is>
          <t>no</t>
        </is>
      </c>
      <c r="E32" s="41">
        <f>IFERROR(VLOOKUP("A07",'Rate Card'!$A:$H,8,FALSE()),0)</f>
        <v/>
      </c>
      <c r="F32" s="42">
        <f>IF(C32=0,0,C32*E32)</f>
        <v/>
      </c>
      <c r="G32" s="43">
        <f>IFERROR(VLOOKUP("A07",'Rate Card'!$A:$H,4,FALSE()),0)</f>
        <v/>
      </c>
      <c r="H32" s="44">
        <f>IF(C32=0,0,C32*G32)</f>
        <v/>
      </c>
      <c r="I32" s="43">
        <f>IFERROR(VLOOKUP("A07",'Rate Card'!$A:$H,5,FALSE()),0)</f>
        <v/>
      </c>
      <c r="J32" s="44">
        <f>IF(C32=0,0,C32*I32)</f>
        <v/>
      </c>
      <c r="K32" s="43">
        <f>IFERROR(VLOOKUP("A07",'Rate Card'!$A:$H,6,FALSE()),0)</f>
        <v/>
      </c>
      <c r="L32" s="44">
        <f>IF(C32=0,0,C32*K32)</f>
        <v/>
      </c>
      <c r="M32" s="43">
        <f>IFERROR(VLOOKUP("A07",'Rate Card'!$A:$H,7,FALSE()),0)</f>
        <v/>
      </c>
      <c r="N32" s="44">
        <f>IF(C32=0,0,C32*M32)</f>
        <v/>
      </c>
      <c r="O32" s="44">
        <f>SUM(H32,J32,L32,N32)</f>
        <v/>
      </c>
      <c r="P32" s="44">
        <f>F32-O32</f>
        <v/>
      </c>
      <c r="Q32" s="45">
        <f>IF(F32=0,0,P32/F32)</f>
        <v/>
      </c>
      <c r="R32" s="45">
        <f>IF(O32=0,0,P32/O32)</f>
        <v/>
      </c>
    </row>
    <row r="33" ht="15.75" customHeight="1">
      <c r="A33" s="46" t="inlineStr">
        <is>
          <t>B.08</t>
        </is>
      </c>
      <c r="B33" s="19" t="inlineStr">
        <is>
          <t>FD30S — Double Leaf, Paint Grade + Smoke Seals, Height up to 2040mm</t>
        </is>
      </c>
      <c r="C33" s="47">
        <f>COUNTIFS('Door Schedule'!$P:$P,"A08",'Door Schedule'!$O:$O,"YES")</f>
        <v/>
      </c>
      <c r="D33" s="20" t="inlineStr">
        <is>
          <t>no</t>
        </is>
      </c>
      <c r="E33" s="48">
        <f>IFERROR(VLOOKUP("A08",'Rate Card'!$A:$H,8,FALSE()),0)</f>
        <v/>
      </c>
      <c r="F33" s="49">
        <f>IF(C33=0,0,C33*E33)</f>
        <v/>
      </c>
      <c r="G33" s="50">
        <f>IFERROR(VLOOKUP("A08",'Rate Card'!$A:$H,4,FALSE()),0)</f>
        <v/>
      </c>
      <c r="H33" s="51">
        <f>IF(C33=0,0,C33*G33)</f>
        <v/>
      </c>
      <c r="I33" s="50">
        <f>IFERROR(VLOOKUP("A08",'Rate Card'!$A:$H,5,FALSE()),0)</f>
        <v/>
      </c>
      <c r="J33" s="51">
        <f>IF(C33=0,0,C33*I33)</f>
        <v/>
      </c>
      <c r="K33" s="50">
        <f>IFERROR(VLOOKUP("A08",'Rate Card'!$A:$H,6,FALSE()),0)</f>
        <v/>
      </c>
      <c r="L33" s="51">
        <f>IF(C33=0,0,C33*K33)</f>
        <v/>
      </c>
      <c r="M33" s="50">
        <f>IFERROR(VLOOKUP("A08",'Rate Card'!$A:$H,7,FALSE()),0)</f>
        <v/>
      </c>
      <c r="N33" s="51">
        <f>IF(C33=0,0,C33*M33)</f>
        <v/>
      </c>
      <c r="O33" s="51">
        <f>SUM(H33,J33,L33,N33)</f>
        <v/>
      </c>
      <c r="P33" s="51">
        <f>F33-O33</f>
        <v/>
      </c>
      <c r="Q33" s="52">
        <f>IF(F33=0,0,P33/F33)</f>
        <v/>
      </c>
      <c r="R33" s="52">
        <f>IF(O33=0,0,P33/O33)</f>
        <v/>
      </c>
    </row>
    <row r="34" ht="15.75" customHeight="1">
      <c r="A34" s="39" t="inlineStr">
        <is>
          <t>B.09</t>
        </is>
      </c>
      <c r="B34" s="13" t="inlineStr">
        <is>
          <t>FD60S — Single Leaf, Paint Grade + Smoke Seals, Height up to 2040mm</t>
        </is>
      </c>
      <c r="C34" s="40">
        <f>COUNTIFS('Door Schedule'!$P:$P,"A09",'Door Schedule'!$O:$O,"YES")</f>
        <v/>
      </c>
      <c r="D34" s="14" t="inlineStr">
        <is>
          <t>no</t>
        </is>
      </c>
      <c r="E34" s="41">
        <f>IFERROR(VLOOKUP("A09",'Rate Card'!$A:$H,8,FALSE()),0)</f>
        <v/>
      </c>
      <c r="F34" s="42">
        <f>IF(C34=0,0,C34*E34)</f>
        <v/>
      </c>
      <c r="G34" s="43">
        <f>IFERROR(VLOOKUP("A09",'Rate Card'!$A:$H,4,FALSE()),0)</f>
        <v/>
      </c>
      <c r="H34" s="44">
        <f>IF(C34=0,0,C34*G34)</f>
        <v/>
      </c>
      <c r="I34" s="43">
        <f>IFERROR(VLOOKUP("A09",'Rate Card'!$A:$H,5,FALSE()),0)</f>
        <v/>
      </c>
      <c r="J34" s="44">
        <f>IF(C34=0,0,C34*I34)</f>
        <v/>
      </c>
      <c r="K34" s="43">
        <f>IFERROR(VLOOKUP("A09",'Rate Card'!$A:$H,6,FALSE()),0)</f>
        <v/>
      </c>
      <c r="L34" s="44">
        <f>IF(C34=0,0,C34*K34)</f>
        <v/>
      </c>
      <c r="M34" s="43">
        <f>IFERROR(VLOOKUP("A09",'Rate Card'!$A:$H,7,FALSE()),0)</f>
        <v/>
      </c>
      <c r="N34" s="44">
        <f>IF(C34=0,0,C34*M34)</f>
        <v/>
      </c>
      <c r="O34" s="44">
        <f>SUM(H34,J34,L34,N34)</f>
        <v/>
      </c>
      <c r="P34" s="44">
        <f>F34-O34</f>
        <v/>
      </c>
      <c r="Q34" s="45">
        <f>IF(F34=0,0,P34/F34)</f>
        <v/>
      </c>
      <c r="R34" s="45">
        <f>IF(O34=0,0,P34/O34)</f>
        <v/>
      </c>
    </row>
    <row r="35" ht="15.75" customHeight="1">
      <c r="A35" s="46" t="inlineStr">
        <is>
          <t>B.10</t>
        </is>
      </c>
      <c r="B35" s="19" t="inlineStr">
        <is>
          <t>FD60S — Single Leaf, Paint Grade + Smoke Seals, Height 2040–2400mm</t>
        </is>
      </c>
      <c r="C35" s="47">
        <f>COUNTIFS('Door Schedule'!$P:$P,"A10",'Door Schedule'!$O:$O,"YES")</f>
        <v/>
      </c>
      <c r="D35" s="20" t="inlineStr">
        <is>
          <t>no</t>
        </is>
      </c>
      <c r="E35" s="48">
        <f>IFERROR(VLOOKUP("A10",'Rate Card'!$A:$H,8,FALSE()),0)</f>
        <v/>
      </c>
      <c r="F35" s="49">
        <f>IF(C35=0,0,C35*E35)</f>
        <v/>
      </c>
      <c r="G35" s="50">
        <f>IFERROR(VLOOKUP("A10",'Rate Card'!$A:$H,4,FALSE()),0)</f>
        <v/>
      </c>
      <c r="H35" s="51">
        <f>IF(C35=0,0,C35*G35)</f>
        <v/>
      </c>
      <c r="I35" s="50">
        <f>IFERROR(VLOOKUP("A10",'Rate Card'!$A:$H,5,FALSE()),0)</f>
        <v/>
      </c>
      <c r="J35" s="51">
        <f>IF(C35=0,0,C35*I35)</f>
        <v/>
      </c>
      <c r="K35" s="50">
        <f>IFERROR(VLOOKUP("A10",'Rate Card'!$A:$H,6,FALSE()),0)</f>
        <v/>
      </c>
      <c r="L35" s="51">
        <f>IF(C35=0,0,C35*K35)</f>
        <v/>
      </c>
      <c r="M35" s="50">
        <f>IFERROR(VLOOKUP("A10",'Rate Card'!$A:$H,7,FALSE()),0)</f>
        <v/>
      </c>
      <c r="N35" s="51">
        <f>IF(C35=0,0,C35*M35)</f>
        <v/>
      </c>
      <c r="O35" s="51">
        <f>SUM(H35,J35,L35,N35)</f>
        <v/>
      </c>
      <c r="P35" s="51">
        <f>F35-O35</f>
        <v/>
      </c>
      <c r="Q35" s="52">
        <f>IF(F35=0,0,P35/F35)</f>
        <v/>
      </c>
      <c r="R35" s="52">
        <f>IF(O35=0,0,P35/O35)</f>
        <v/>
      </c>
    </row>
    <row r="36" ht="15.75" customHeight="1">
      <c r="A36" s="39" t="inlineStr">
        <is>
          <t>B.11</t>
        </is>
      </c>
      <c r="B36" s="13" t="inlineStr">
        <is>
          <t>FD60S — Double Leaf, Paint Grade + Smoke Seals, Height up to 2040mm</t>
        </is>
      </c>
      <c r="C36" s="40">
        <f>COUNTIFS('Door Schedule'!$P:$P,"A11",'Door Schedule'!$O:$O,"YES")</f>
        <v/>
      </c>
      <c r="D36" s="14" t="inlineStr">
        <is>
          <t>no</t>
        </is>
      </c>
      <c r="E36" s="41">
        <f>IFERROR(VLOOKUP("A11",'Rate Card'!$A:$H,8,FALSE()),0)</f>
        <v/>
      </c>
      <c r="F36" s="42">
        <f>IF(C36=0,0,C36*E36)</f>
        <v/>
      </c>
      <c r="G36" s="43">
        <f>IFERROR(VLOOKUP("A11",'Rate Card'!$A:$H,4,FALSE()),0)</f>
        <v/>
      </c>
      <c r="H36" s="44">
        <f>IF(C36=0,0,C36*G36)</f>
        <v/>
      </c>
      <c r="I36" s="43">
        <f>IFERROR(VLOOKUP("A11",'Rate Card'!$A:$H,5,FALSE()),0)</f>
        <v/>
      </c>
      <c r="J36" s="44">
        <f>IF(C36=0,0,C36*I36)</f>
        <v/>
      </c>
      <c r="K36" s="43">
        <f>IFERROR(VLOOKUP("A11",'Rate Card'!$A:$H,6,FALSE()),0)</f>
        <v/>
      </c>
      <c r="L36" s="44">
        <f>IF(C36=0,0,C36*K36)</f>
        <v/>
      </c>
      <c r="M36" s="43">
        <f>IFERROR(VLOOKUP("A11",'Rate Card'!$A:$H,7,FALSE()),0)</f>
        <v/>
      </c>
      <c r="N36" s="44">
        <f>IF(C36=0,0,C36*M36)</f>
        <v/>
      </c>
      <c r="O36" s="44">
        <f>SUM(H36,J36,L36,N36)</f>
        <v/>
      </c>
      <c r="P36" s="44">
        <f>F36-O36</f>
        <v/>
      </c>
      <c r="Q36" s="45">
        <f>IF(F36=0,0,P36/F36)</f>
        <v/>
      </c>
      <c r="R36" s="45">
        <f>IF(O36=0,0,P36/O36)</f>
        <v/>
      </c>
    </row>
    <row r="37" ht="15.75" customHeight="1">
      <c r="A37" s="46" t="inlineStr">
        <is>
          <t>B.12</t>
        </is>
      </c>
      <c r="B37" s="19" t="inlineStr">
        <is>
          <t>E/O Hardwood Veneer Finish (per door)</t>
        </is>
      </c>
      <c r="C37" s="47">
        <f>COUNTIFS('Door Schedule'!$P:$P,"A12",'Door Schedule'!$O:$O,"YES")</f>
        <v/>
      </c>
      <c r="D37" s="20" t="inlineStr">
        <is>
          <t>no</t>
        </is>
      </c>
      <c r="E37" s="48">
        <f>IFERROR(VLOOKUP("A12",'Rate Card'!$A:$H,8,FALSE()),0)</f>
        <v/>
      </c>
      <c r="F37" s="49">
        <f>IF(C37=0,0,C37*E37)</f>
        <v/>
      </c>
      <c r="G37" s="50">
        <f>IFERROR(VLOOKUP("A12",'Rate Card'!$A:$H,4,FALSE()),0)</f>
        <v/>
      </c>
      <c r="H37" s="51">
        <f>IF(C37=0,0,C37*G37)</f>
        <v/>
      </c>
      <c r="I37" s="50">
        <f>IFERROR(VLOOKUP("A12",'Rate Card'!$A:$H,5,FALSE()),0)</f>
        <v/>
      </c>
      <c r="J37" s="51">
        <f>IF(C37=0,0,C37*I37)</f>
        <v/>
      </c>
      <c r="K37" s="50">
        <f>IFERROR(VLOOKUP("A12",'Rate Card'!$A:$H,6,FALSE()),0)</f>
        <v/>
      </c>
      <c r="L37" s="51">
        <f>IF(C37=0,0,C37*K37)</f>
        <v/>
      </c>
      <c r="M37" s="50">
        <f>IFERROR(VLOOKUP("A12",'Rate Card'!$A:$H,7,FALSE()),0)</f>
        <v/>
      </c>
      <c r="N37" s="51">
        <f>IF(C37=0,0,C37*M37)</f>
        <v/>
      </c>
      <c r="O37" s="51">
        <f>SUM(H37,J37,L37,N37)</f>
        <v/>
      </c>
      <c r="P37" s="51">
        <f>F37-O37</f>
        <v/>
      </c>
      <c r="Q37" s="52">
        <f>IF(F37=0,0,P37/F37)</f>
        <v/>
      </c>
      <c r="R37" s="52">
        <f>IF(O37=0,0,P37/O37)</f>
        <v/>
      </c>
    </row>
    <row r="38" ht="15.75" customHeight="1">
      <c r="A38" s="39" t="inlineStr">
        <is>
          <t>B.13</t>
        </is>
      </c>
      <c r="B38" s="13" t="inlineStr">
        <is>
          <t>E/O External Grade Specification (per door)</t>
        </is>
      </c>
      <c r="C38" s="40">
        <f>COUNTIFS('Door Schedule'!$P:$P,"A13",'Door Schedule'!$O:$O,"YES")</f>
        <v/>
      </c>
      <c r="D38" s="14" t="inlineStr">
        <is>
          <t>no</t>
        </is>
      </c>
      <c r="E38" s="41">
        <f>IFERROR(VLOOKUP("A13",'Rate Card'!$A:$H,8,FALSE()),0)</f>
        <v/>
      </c>
      <c r="F38" s="42">
        <f>IF(C38=0,0,C38*E38)</f>
        <v/>
      </c>
      <c r="G38" s="43">
        <f>IFERROR(VLOOKUP("A13",'Rate Card'!$A:$H,4,FALSE()),0)</f>
        <v/>
      </c>
      <c r="H38" s="44">
        <f>IF(C38=0,0,C38*G38)</f>
        <v/>
      </c>
      <c r="I38" s="43">
        <f>IFERROR(VLOOKUP("A13",'Rate Card'!$A:$H,5,FALSE()),0)</f>
        <v/>
      </c>
      <c r="J38" s="44">
        <f>IF(C38=0,0,C38*I38)</f>
        <v/>
      </c>
      <c r="K38" s="43">
        <f>IFERROR(VLOOKUP("A13",'Rate Card'!$A:$H,6,FALSE()),0)</f>
        <v/>
      </c>
      <c r="L38" s="44">
        <f>IF(C38=0,0,C38*K38)</f>
        <v/>
      </c>
      <c r="M38" s="43">
        <f>IFERROR(VLOOKUP("A13",'Rate Card'!$A:$H,7,FALSE()),0)</f>
        <v/>
      </c>
      <c r="N38" s="44">
        <f>IF(C38=0,0,C38*M38)</f>
        <v/>
      </c>
      <c r="O38" s="44">
        <f>SUM(H38,J38,L38,N38)</f>
        <v/>
      </c>
      <c r="P38" s="44">
        <f>F38-O38</f>
        <v/>
      </c>
      <c r="Q38" s="45">
        <f>IF(F38=0,0,P38/F38)</f>
        <v/>
      </c>
      <c r="R38" s="45">
        <f>IF(O38=0,0,P38/O38)</f>
        <v/>
      </c>
    </row>
    <row r="39" ht="15.75" customHeight="1">
      <c r="A39" s="46" t="inlineStr">
        <is>
          <t>B.14</t>
        </is>
      </c>
      <c r="B39" s="19" t="inlineStr">
        <is>
          <t>E/O Fire-Rated Vision Panel up to 300 x 600mm</t>
        </is>
      </c>
      <c r="C39" s="47">
        <f>COUNTIFS('Door Schedule'!$P:$P,"A14",'Door Schedule'!$O:$O,"YES")</f>
        <v/>
      </c>
      <c r="D39" s="20" t="inlineStr">
        <is>
          <t>no</t>
        </is>
      </c>
      <c r="E39" s="48">
        <f>IFERROR(VLOOKUP("A14",'Rate Card'!$A:$H,8,FALSE()),0)</f>
        <v/>
      </c>
      <c r="F39" s="49">
        <f>IF(C39=0,0,C39*E39)</f>
        <v/>
      </c>
      <c r="G39" s="50">
        <f>IFERROR(VLOOKUP("A14",'Rate Card'!$A:$H,4,FALSE()),0)</f>
        <v/>
      </c>
      <c r="H39" s="51">
        <f>IF(C39=0,0,C39*G39)</f>
        <v/>
      </c>
      <c r="I39" s="50">
        <f>IFERROR(VLOOKUP("A14",'Rate Card'!$A:$H,5,FALSE()),0)</f>
        <v/>
      </c>
      <c r="J39" s="51">
        <f>IF(C39=0,0,C39*I39)</f>
        <v/>
      </c>
      <c r="K39" s="50">
        <f>IFERROR(VLOOKUP("A14",'Rate Card'!$A:$H,6,FALSE()),0)</f>
        <v/>
      </c>
      <c r="L39" s="51">
        <f>IF(C39=0,0,C39*K39)</f>
        <v/>
      </c>
      <c r="M39" s="50">
        <f>IFERROR(VLOOKUP("A14",'Rate Card'!$A:$H,7,FALSE()),0)</f>
        <v/>
      </c>
      <c r="N39" s="51">
        <f>IF(C39=0,0,C39*M39)</f>
        <v/>
      </c>
      <c r="O39" s="51">
        <f>SUM(H39,J39,L39,N39)</f>
        <v/>
      </c>
      <c r="P39" s="51">
        <f>F39-O39</f>
        <v/>
      </c>
      <c r="Q39" s="52">
        <f>IF(F39=0,0,P39/F39)</f>
        <v/>
      </c>
      <c r="R39" s="52">
        <f>IF(O39=0,0,P39/O39)</f>
        <v/>
      </c>
    </row>
    <row r="40" ht="15.75" customHeight="1">
      <c r="A40" s="39" t="inlineStr">
        <is>
          <t>B.15</t>
        </is>
      </c>
      <c r="B40" s="13" t="inlineStr">
        <is>
          <t>E/O Fire-Rated Vision Panel over 300 x 600mm</t>
        </is>
      </c>
      <c r="C40" s="40">
        <f>COUNTIFS('Door Schedule'!$P:$P,"A15",'Door Schedule'!$O:$O,"YES")</f>
        <v/>
      </c>
      <c r="D40" s="14" t="inlineStr">
        <is>
          <t>no</t>
        </is>
      </c>
      <c r="E40" s="41">
        <f>IFERROR(VLOOKUP("A15",'Rate Card'!$A:$H,8,FALSE()),0)</f>
        <v/>
      </c>
      <c r="F40" s="42">
        <f>IF(C40=0,0,C40*E40)</f>
        <v/>
      </c>
      <c r="G40" s="43">
        <f>IFERROR(VLOOKUP("A15",'Rate Card'!$A:$H,4,FALSE()),0)</f>
        <v/>
      </c>
      <c r="H40" s="44">
        <f>IF(C40=0,0,C40*G40)</f>
        <v/>
      </c>
      <c r="I40" s="43">
        <f>IFERROR(VLOOKUP("A15",'Rate Card'!$A:$H,5,FALSE()),0)</f>
        <v/>
      </c>
      <c r="J40" s="44">
        <f>IF(C40=0,0,C40*I40)</f>
        <v/>
      </c>
      <c r="K40" s="43">
        <f>IFERROR(VLOOKUP("A15",'Rate Card'!$A:$H,6,FALSE()),0)</f>
        <v/>
      </c>
      <c r="L40" s="44">
        <f>IF(C40=0,0,C40*K40)</f>
        <v/>
      </c>
      <c r="M40" s="43">
        <f>IFERROR(VLOOKUP("A15",'Rate Card'!$A:$H,7,FALSE()),0)</f>
        <v/>
      </c>
      <c r="N40" s="44">
        <f>IF(C40=0,0,C40*M40)</f>
        <v/>
      </c>
      <c r="O40" s="44">
        <f>SUM(H40,J40,L40,N40)</f>
        <v/>
      </c>
      <c r="P40" s="44">
        <f>F40-O40</f>
        <v/>
      </c>
      <c r="Q40" s="45">
        <f>IF(F40=0,0,P40/F40)</f>
        <v/>
      </c>
      <c r="R40" s="45">
        <f>IF(O40=0,0,P40/O40)</f>
        <v/>
      </c>
    </row>
    <row r="42" ht="16.5" customHeight="1">
      <c r="A42" s="56" t="inlineStr">
        <is>
          <t>PRE</t>
        </is>
      </c>
      <c r="B42" s="11" t="inlineStr">
        <is>
          <t>PRELIMINARIES &amp; ANCILLARIES  |  Applied to whichever option is chosen</t>
        </is>
      </c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</row>
    <row r="43" ht="15.75" customHeight="1">
      <c r="A43" s="39" t="inlineStr">
        <is>
          <t>P.01</t>
        </is>
      </c>
      <c r="B43" s="13" t="inlineStr">
        <is>
          <t>Mobilisation / Site setup (per visit)</t>
        </is>
      </c>
      <c r="C43" s="57" t="n">
        <v>1</v>
      </c>
      <c r="D43" s="14" t="inlineStr">
        <is>
          <t>visit</t>
        </is>
      </c>
      <c r="E43" s="41">
        <f>IFERROR(VLOOKUP("C01",'Rate Card'!$A:$H,8,FALSE()),0)</f>
        <v/>
      </c>
      <c r="F43" s="42">
        <f>IF(C43=0,0,C43*E43)</f>
        <v/>
      </c>
      <c r="G43" s="43">
        <f>IFERROR(VLOOKUP("C01",'Rate Card'!$A:$H,4,FALSE()),0)</f>
        <v/>
      </c>
      <c r="H43" s="44">
        <f>IF(C43=0,0,C43*G43)</f>
        <v/>
      </c>
      <c r="I43" s="43">
        <f>IFERROR(VLOOKUP("C01",'Rate Card'!$A:$H,5,FALSE()),0)</f>
        <v/>
      </c>
      <c r="J43" s="44">
        <f>IF(C43=0,0,C43*I43)</f>
        <v/>
      </c>
      <c r="K43" s="43">
        <f>IFERROR(VLOOKUP("C01",'Rate Card'!$A:$H,6,FALSE()),0)</f>
        <v/>
      </c>
      <c r="L43" s="44">
        <f>IF(C43=0,0,C43*K43)</f>
        <v/>
      </c>
      <c r="M43" s="43">
        <f>IFERROR(VLOOKUP("C01",'Rate Card'!$A:$H,7,FALSE()),0)</f>
        <v/>
      </c>
      <c r="N43" s="44">
        <f>IF(C43=0,0,C43*M43)</f>
        <v/>
      </c>
      <c r="O43" s="44">
        <f>SUM(H43,J43,L43,N43)</f>
        <v/>
      </c>
      <c r="P43" s="44">
        <f>F43-O43</f>
        <v/>
      </c>
      <c r="Q43" s="45">
        <f>IF(F43=0,0,P43/F43)</f>
        <v/>
      </c>
      <c r="R43" s="45">
        <f>IF(O43=0,0,P43/O43)</f>
        <v/>
      </c>
    </row>
    <row r="44" ht="15.75" customHeight="1">
      <c r="A44" s="46" t="inlineStr">
        <is>
          <t>P.02</t>
        </is>
      </c>
      <c r="B44" s="19" t="inlineStr">
        <is>
          <t>Waste removal &amp; disposal</t>
        </is>
      </c>
      <c r="C44" s="57" t="n">
        <v>1</v>
      </c>
      <c r="D44" s="20" t="inlineStr">
        <is>
          <t>no</t>
        </is>
      </c>
      <c r="E44" s="48">
        <f>IFERROR(VLOOKUP("C02",'Rate Card'!$A:$H,8,FALSE()),0)</f>
        <v/>
      </c>
      <c r="F44" s="49">
        <f>IF(C44=0,0,C44*E44)</f>
        <v/>
      </c>
      <c r="G44" s="50">
        <f>IFERROR(VLOOKUP("C02",'Rate Card'!$A:$H,4,FALSE()),0)</f>
        <v/>
      </c>
      <c r="H44" s="51">
        <f>IF(C44=0,0,C44*G44)</f>
        <v/>
      </c>
      <c r="I44" s="50">
        <f>IFERROR(VLOOKUP("C02",'Rate Card'!$A:$H,5,FALSE()),0)</f>
        <v/>
      </c>
      <c r="J44" s="51">
        <f>IF(C44=0,0,C44*I44)</f>
        <v/>
      </c>
      <c r="K44" s="50">
        <f>IFERROR(VLOOKUP("C02",'Rate Card'!$A:$H,6,FALSE()),0)</f>
        <v/>
      </c>
      <c r="L44" s="51">
        <f>IF(C44=0,0,C44*K44)</f>
        <v/>
      </c>
      <c r="M44" s="50">
        <f>IFERROR(VLOOKUP("C02",'Rate Card'!$A:$H,7,FALSE()),0)</f>
        <v/>
      </c>
      <c r="N44" s="51">
        <f>IF(C44=0,0,C44*M44)</f>
        <v/>
      </c>
      <c r="O44" s="51">
        <f>SUM(H44,J44,L44,N44)</f>
        <v/>
      </c>
      <c r="P44" s="51">
        <f>F44-O44</f>
        <v/>
      </c>
      <c r="Q44" s="52">
        <f>IF(F44=0,0,P44/F44)</f>
        <v/>
      </c>
      <c r="R44" s="52">
        <f>IF(O44=0,0,P44/O44)</f>
        <v/>
      </c>
    </row>
    <row r="45" ht="15.75" customHeight="1">
      <c r="A45" s="39" t="inlineStr">
        <is>
          <t>P.03</t>
        </is>
      </c>
      <c r="B45" s="13" t="inlineStr">
        <is>
          <t>Certification &amp; completion documentation</t>
        </is>
      </c>
      <c r="C45" s="57" t="n">
        <v>1</v>
      </c>
      <c r="D45" s="14" t="inlineStr">
        <is>
          <t>no</t>
        </is>
      </c>
      <c r="E45" s="41">
        <f>IFERROR(VLOOKUP("C03",'Rate Card'!$A:$H,8,FALSE()),0)</f>
        <v/>
      </c>
      <c r="F45" s="42">
        <f>IF(C45=0,0,C45*E45)</f>
        <v/>
      </c>
      <c r="G45" s="43">
        <f>IFERROR(VLOOKUP("C03",'Rate Card'!$A:$H,4,FALSE()),0)</f>
        <v/>
      </c>
      <c r="H45" s="44">
        <f>IF(C45=0,0,C45*G45)</f>
        <v/>
      </c>
      <c r="I45" s="43">
        <f>IFERROR(VLOOKUP("C03",'Rate Card'!$A:$H,5,FALSE()),0)</f>
        <v/>
      </c>
      <c r="J45" s="44">
        <f>IF(C45=0,0,C45*I45)</f>
        <v/>
      </c>
      <c r="K45" s="43">
        <f>IFERROR(VLOOKUP("C03",'Rate Card'!$A:$H,6,FALSE()),0)</f>
        <v/>
      </c>
      <c r="L45" s="44">
        <f>IF(C45=0,0,C45*K45)</f>
        <v/>
      </c>
      <c r="M45" s="43">
        <f>IFERROR(VLOOKUP("C03",'Rate Card'!$A:$H,7,FALSE()),0)</f>
        <v/>
      </c>
      <c r="N45" s="44">
        <f>IF(C45=0,0,C45*M45)</f>
        <v/>
      </c>
      <c r="O45" s="44">
        <f>SUM(H45,J45,L45,N45)</f>
        <v/>
      </c>
      <c r="P45" s="44">
        <f>F45-O45</f>
        <v/>
      </c>
      <c r="Q45" s="45">
        <f>IF(F45=0,0,P45/F45)</f>
        <v/>
      </c>
      <c r="R45" s="45">
        <f>IF(O45=0,0,P45/O45)</f>
        <v/>
      </c>
    </row>
    <row r="46" ht="15.75" customHeight="1">
      <c r="A46" s="46" t="inlineStr">
        <is>
          <t>P.04</t>
        </is>
      </c>
      <c r="B46" s="19" t="inlineStr">
        <is>
          <t>Out-of-hours uplift (if required)</t>
        </is>
      </c>
      <c r="C46" s="57" t="n">
        <v>1</v>
      </c>
      <c r="D46" s="20" t="inlineStr">
        <is>
          <t>day</t>
        </is>
      </c>
      <c r="E46" s="48">
        <f>IFERROR(VLOOKUP("C04",'Rate Card'!$A:$H,8,FALSE()),0)</f>
        <v/>
      </c>
      <c r="F46" s="49">
        <f>IF(C46=0,0,C46*E46)</f>
        <v/>
      </c>
      <c r="G46" s="50">
        <f>IFERROR(VLOOKUP("C04",'Rate Card'!$A:$H,4,FALSE()),0)</f>
        <v/>
      </c>
      <c r="H46" s="51">
        <f>IF(C46=0,0,C46*G46)</f>
        <v/>
      </c>
      <c r="I46" s="50">
        <f>IFERROR(VLOOKUP("C04",'Rate Card'!$A:$H,5,FALSE()),0)</f>
        <v/>
      </c>
      <c r="J46" s="51">
        <f>IF(C46=0,0,C46*I46)</f>
        <v/>
      </c>
      <c r="K46" s="50">
        <f>IFERROR(VLOOKUP("C04",'Rate Card'!$A:$H,6,FALSE()),0)</f>
        <v/>
      </c>
      <c r="L46" s="51">
        <f>IF(C46=0,0,C46*K46)</f>
        <v/>
      </c>
      <c r="M46" s="50">
        <f>IFERROR(VLOOKUP("C04",'Rate Card'!$A:$H,7,FALSE()),0)</f>
        <v/>
      </c>
      <c r="N46" s="51">
        <f>IF(C46=0,0,C46*M46)</f>
        <v/>
      </c>
      <c r="O46" s="51">
        <f>SUM(H46,J46,L46,N46)</f>
        <v/>
      </c>
      <c r="P46" s="51">
        <f>F46-O46</f>
        <v/>
      </c>
      <c r="Q46" s="52">
        <f>IF(F46=0,0,P46/F46)</f>
        <v/>
      </c>
      <c r="R46" s="52">
        <f>IF(O46=0,0,P46/O46)</f>
        <v/>
      </c>
    </row>
    <row r="47" ht="15.75" customHeight="1">
      <c r="A47" s="39" t="inlineStr">
        <is>
          <t>P.05</t>
        </is>
      </c>
      <c r="B47" s="13" t="inlineStr">
        <is>
          <t>Scaffold / access equipment — PROVISIONAL</t>
        </is>
      </c>
      <c r="C47" s="57" t="n">
        <v>1</v>
      </c>
      <c r="D47" s="14" t="inlineStr">
        <is>
          <t>item</t>
        </is>
      </c>
      <c r="E47" s="41">
        <f>IFERROR(VLOOKUP("C05",'Rate Card'!$A:$H,8,FALSE()),0)</f>
        <v/>
      </c>
      <c r="F47" s="42">
        <f>IF(C47=0,0,C47*E47)</f>
        <v/>
      </c>
      <c r="G47" s="43">
        <f>IFERROR(VLOOKUP("C05",'Rate Card'!$A:$H,4,FALSE()),0)</f>
        <v/>
      </c>
      <c r="H47" s="44">
        <f>IF(C47=0,0,C47*G47)</f>
        <v/>
      </c>
      <c r="I47" s="43">
        <f>IFERROR(VLOOKUP("C05",'Rate Card'!$A:$H,5,FALSE()),0)</f>
        <v/>
      </c>
      <c r="J47" s="44">
        <f>IF(C47=0,0,C47*I47)</f>
        <v/>
      </c>
      <c r="K47" s="43">
        <f>IFERROR(VLOOKUP("C05",'Rate Card'!$A:$H,6,FALSE()),0)</f>
        <v/>
      </c>
      <c r="L47" s="44">
        <f>IF(C47=0,0,C47*K47)</f>
        <v/>
      </c>
      <c r="M47" s="43">
        <f>IFERROR(VLOOKUP("C05",'Rate Card'!$A:$H,7,FALSE()),0)</f>
        <v/>
      </c>
      <c r="N47" s="44">
        <f>IF(C47=0,0,C47*M47)</f>
        <v/>
      </c>
      <c r="O47" s="44">
        <f>SUM(H47,J47,L47,N47)</f>
        <v/>
      </c>
      <c r="P47" s="44">
        <f>F47-O47</f>
        <v/>
      </c>
      <c r="Q47" s="45">
        <f>IF(F47=0,0,P47/F47)</f>
        <v/>
      </c>
      <c r="R47" s="45">
        <f>IF(O47=0,0,P47/O47)</f>
        <v/>
      </c>
    </row>
    <row r="49" ht="18" customHeight="1">
      <c r="A49" s="58" t="n"/>
      <c r="B49" s="59" t="inlineStr">
        <is>
          <t>OPTION A TOTAL</t>
        </is>
      </c>
      <c r="C49" s="58" t="n"/>
      <c r="D49" s="58" t="n"/>
      <c r="E49" s="58" t="n"/>
      <c r="F49" s="60">
        <f>SUM(F11,F12,F13,F14,F15,F16,F17,F18,F19,F20,F21,F22,F43,F44,F45,F46,F47)</f>
        <v/>
      </c>
      <c r="G49" s="58" t="n"/>
      <c r="H49" s="60">
        <f>SUM(H11,H12,H13,H14,H15,H16,H17,H18,H19,H20,H21,H22,H43,H44,H45,H46,H47)</f>
        <v/>
      </c>
      <c r="I49" s="58" t="n"/>
      <c r="J49" s="60">
        <f>SUM(J11,J12,J13,J14,J15,J16,J17,J18,J19,J20,J21,J22,J43,J44,J45,J46,J47)</f>
        <v/>
      </c>
      <c r="K49" s="58" t="n"/>
      <c r="L49" s="60">
        <f>SUM(L11,L12,L13,L14,L15,L16,L17,L18,L19,L20,L21,L22,L43,L44,L45,L46,L47)</f>
        <v/>
      </c>
      <c r="M49" s="58" t="n"/>
      <c r="N49" s="60">
        <f>SUM(N11,N12,N13,N14,N15,N16,N17,N18,N19,N20,N21,N22,N43,N44,N45,N46,N47)</f>
        <v/>
      </c>
      <c r="O49" s="60">
        <f>SUM(O11,O12,O13,O14,O15,O16,O17,O18,O19,O20,O21,O22,O43,O44,O45,O46,O47)</f>
        <v/>
      </c>
      <c r="P49" s="60">
        <f>SUM(P11,P12,P13,P14,P15,P16,P17,P18,P19,P20,P21,P22,P43,P44,P45,P46,P47)</f>
        <v/>
      </c>
      <c r="Q49" s="61">
        <f>IF(F49=0,0,P49/F49)</f>
        <v/>
      </c>
      <c r="R49" s="61">
        <f>IF(O49=0,0,P49/O49)</f>
        <v/>
      </c>
    </row>
    <row r="50" ht="18" customHeight="1">
      <c r="A50" s="53" t="n"/>
      <c r="B50" s="54" t="inlineStr">
        <is>
          <t>OPTION B TOTAL (RECOMMENDED)</t>
        </is>
      </c>
      <c r="C50" s="53" t="n"/>
      <c r="D50" s="53" t="n"/>
      <c r="E50" s="53" t="n"/>
      <c r="F50" s="62">
        <f>SUM(F26,F27,F28,F29,F30,F31,F32,F33,F34,F35,F36,F37,F38,F39,F40,F43,F44,F45,F46,F47)</f>
        <v/>
      </c>
      <c r="G50" s="53" t="n"/>
      <c r="H50" s="62">
        <f>SUM(H26,H27,H28,H29,H30,H31,H32,H33,H34,H35,H36,H37,H38,H39,H40,H43,H44,H45,H46,H47)</f>
        <v/>
      </c>
      <c r="I50" s="53" t="n"/>
      <c r="J50" s="62">
        <f>SUM(J26,J27,J28,J29,J30,J31,J32,J33,J34,J35,J36,J37,J38,J39,J40,J43,J44,J45,J46,J47)</f>
        <v/>
      </c>
      <c r="K50" s="53" t="n"/>
      <c r="L50" s="62">
        <f>SUM(L26,L27,L28,L29,L30,L31,L32,L33,L34,L35,L36,L37,L38,L39,L40,L43,L44,L45,L46,L47)</f>
        <v/>
      </c>
      <c r="M50" s="53" t="n"/>
      <c r="N50" s="62">
        <f>SUM(N26,N27,N28,N29,N30,N31,N32,N33,N34,N35,N36,N37,N38,N39,N40,N43,N44,N45,N46,N47)</f>
        <v/>
      </c>
      <c r="O50" s="62">
        <f>SUM(O26,O27,O28,O29,O30,O31,O32,O33,O34,O35,O36,O37,O38,O39,O40,O43,O44,O45,O46,O47)</f>
        <v/>
      </c>
      <c r="P50" s="62">
        <f>SUM(P26,P27,P28,P29,P30,P31,P32,P33,P34,P35,P36,P37,P38,P39,P40,P43,P44,P45,P46,P47)</f>
        <v/>
      </c>
      <c r="Q50" s="63">
        <f>IF(F50=0,0,P50/F50)</f>
        <v/>
      </c>
      <c r="R50" s="63">
        <f>IF(O50=0,0,P50/O50)</f>
        <v/>
      </c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zoomScaleNormal="100" workbookViewId="0">
      <pane ySplit="7" topLeftCell="A8" activePane="bottomLeft" state="frozen"/>
      <selection pane="bottomLeft" activeCell="A1" sqref="A1"/>
    </sheetView>
  </sheetViews>
  <sheetFormatPr baseColWidth="8" defaultColWidth="8.6328125" defaultRowHeight="14.5"/>
  <cols>
    <col width="9" customWidth="1" min="1" max="1"/>
    <col width="32" customWidth="1" min="2" max="2"/>
    <col width="30" customWidth="1" min="3" max="3"/>
    <col width="8" customWidth="1" min="4" max="5"/>
    <col width="18" customWidth="1" min="6" max="7"/>
    <col width="12" customWidth="1" min="8" max="8"/>
    <col width="35" customWidth="1" min="9" max="9"/>
  </cols>
  <sheetData>
    <row r="1" ht="21.75" customHeight="1">
      <c r="A1" s="8" t="inlineStr">
        <is>
          <t>FIRE DOOR REMEDIAL WORKS — MATERIAL CALL-OFF  |  Auto-generated on job win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27.75" customHeight="1">
      <c r="A2" s="3" t="inlineStr">
        <is>
          <t>IMPORTANT: Door sizes (leaf width and height) must be physically measured on site before ordering. All other components can be ordered from this list immediately.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</row>
    <row r="3" ht="12.75" customHeight="1">
      <c r="A3" s="6" t="inlineStr">
        <is>
          <t>B11 (lipping) and B12 (void infill) added to components list. Quantities for these are counted from Door Schedule — typical rate approx 20% of surveyed doors.</t>
        </is>
      </c>
    </row>
    <row r="7" ht="18" customHeight="1">
      <c r="A7" s="9" t="inlineStr">
        <is>
          <t>DOOR ID</t>
        </is>
      </c>
      <c r="B7" s="9" t="inlineStr">
        <is>
          <t>LOCATION</t>
        </is>
      </c>
      <c r="C7" s="9" t="inlineStr">
        <is>
          <t>COMPONENT</t>
        </is>
      </c>
      <c r="D7" s="9" t="inlineStr">
        <is>
          <t>QTY</t>
        </is>
      </c>
      <c r="E7" s="9" t="inlineStr">
        <is>
          <t>UNIT</t>
        </is>
      </c>
      <c r="F7" s="9" t="inlineStr">
        <is>
          <t>ORDER STATUS</t>
        </is>
      </c>
      <c r="G7" s="9" t="inlineStr">
        <is>
          <t>SUPPLIER</t>
        </is>
      </c>
      <c r="H7" s="9" t="inlineStr">
        <is>
          <t>COST EX VAT</t>
        </is>
      </c>
      <c r="I7" s="9" t="inlineStr">
        <is>
          <t>NOTES / FLAGS</t>
        </is>
      </c>
    </row>
    <row r="8" ht="15.75" customHeight="1">
      <c r="A8" s="64" t="n"/>
      <c r="B8" s="65" t="inlineStr">
        <is>
          <t>FIRE DOORS — SIZES MUST BE MEASURED ON SITE BEFORE ORDERING (Option B only)</t>
        </is>
      </c>
      <c r="C8" s="64" t="n"/>
      <c r="D8" s="64" t="n"/>
      <c r="E8" s="64" t="n"/>
      <c r="F8" s="64" t="n"/>
      <c r="G8" s="64" t="n"/>
      <c r="H8" s="64" t="n"/>
      <c r="I8" s="64" t="n"/>
    </row>
    <row r="9" ht="16.5" customHeight="1">
      <c r="A9" s="19" t="inlineStr">
        <is>
          <t>A12-L3</t>
        </is>
      </c>
      <c r="B9" s="19" t="inlineStr">
        <is>
          <t>Core 5 tenant door to WCs</t>
        </is>
      </c>
      <c r="C9" s="66" t="inlineStr">
        <is>
          <t>FD60S Single Leaf — MEASURE BEFORE ORDER</t>
        </is>
      </c>
      <c r="D9" s="19" t="n">
        <v>1</v>
      </c>
      <c r="E9" s="19" t="inlineStr">
        <is>
          <t>no</t>
        </is>
      </c>
      <c r="F9" s="27" t="inlineStr">
        <is>
          <t>Pending</t>
        </is>
      </c>
      <c r="G9" s="19" t="n"/>
      <c r="H9" s="19" t="n"/>
      <c r="I9" s="19" t="inlineStr">
        <is>
          <t>Survey dims: 2650x950x70mm — VERIFY ON SITE</t>
        </is>
      </c>
    </row>
    <row r="10" ht="16.5" customHeight="1">
      <c r="A10" s="13" t="inlineStr">
        <is>
          <t>A14-L3</t>
        </is>
      </c>
      <c r="B10" s="13" t="inlineStr">
        <is>
          <t>Core 4 tenant DB riser</t>
        </is>
      </c>
      <c r="C10" s="67" t="inlineStr">
        <is>
          <t>FD30 Double Leaf — MEASURE BEFORE ORDER</t>
        </is>
      </c>
      <c r="D10" s="13" t="n">
        <v>1</v>
      </c>
      <c r="E10" s="13" t="inlineStr">
        <is>
          <t>no</t>
        </is>
      </c>
      <c r="F10" s="27" t="inlineStr">
        <is>
          <t>Pending</t>
        </is>
      </c>
      <c r="G10" s="13" t="n"/>
      <c r="H10" s="13" t="n"/>
      <c r="I10" s="13" t="inlineStr">
        <is>
          <t>Survey dims: 2650x1810x135mm — VERIFY ON SITE</t>
        </is>
      </c>
    </row>
    <row r="12" ht="15.75" customHeight="1">
      <c r="A12" s="55" t="n"/>
      <c r="B12" s="54" t="inlineStr">
        <is>
          <t>COMPONENTS — READY TO ORDER (quantities aggregated across all doors)</t>
        </is>
      </c>
      <c r="C12" s="55" t="n"/>
      <c r="D12" s="55" t="n"/>
      <c r="E12" s="55" t="n"/>
      <c r="F12" s="55" t="n"/>
      <c r="G12" s="55" t="n"/>
      <c r="H12" s="55" t="n"/>
      <c r="I12" s="55" t="n"/>
    </row>
    <row r="13" ht="16.5" customHeight="1">
      <c r="A13" s="13" t="inlineStr">
        <is>
          <t>ALL</t>
        </is>
      </c>
      <c r="B13" s="13" t="inlineStr">
        <is>
          <t>All doors</t>
        </is>
      </c>
      <c r="C13" s="13" t="inlineStr">
        <is>
          <t>Overhead door closer — CE-marked, BS EN 1154</t>
        </is>
      </c>
      <c r="D13" s="13">
        <f>COUNTIF('Door Schedule'!I:I,"Overhead Closer")</f>
        <v/>
      </c>
      <c r="E13" s="13" t="inlineStr">
        <is>
          <t>no</t>
        </is>
      </c>
      <c r="F13" s="23" t="inlineStr">
        <is>
          <t>Ready to order</t>
        </is>
      </c>
      <c r="G13" s="13" t="n"/>
      <c r="H13" s="13" t="n"/>
      <c r="I13" s="13" t="inlineStr">
        <is>
          <t>Count from Door Schedule col I</t>
        </is>
      </c>
    </row>
    <row r="14" ht="16.5" customHeight="1">
      <c r="A14" s="19" t="inlineStr">
        <is>
          <t>ALL</t>
        </is>
      </c>
      <c r="B14" s="19" t="inlineStr">
        <is>
          <t>All doors</t>
        </is>
      </c>
      <c r="C14" s="19" t="inlineStr">
        <is>
          <t>Hinge set (3 hinges) — BS EN 1935 Grade 11</t>
        </is>
      </c>
      <c r="D14" s="19">
        <f>COUNTA('Door Schedule'!A:A)-4</f>
        <v/>
      </c>
      <c r="E14" s="19" t="inlineStr">
        <is>
          <t>sets</t>
        </is>
      </c>
      <c r="F14" s="23" t="inlineStr">
        <is>
          <t>Ready to order</t>
        </is>
      </c>
      <c r="G14" s="19" t="n"/>
      <c r="H14" s="19" t="n"/>
      <c r="I14" s="19" t="inlineStr">
        <is>
          <t>One set per door requiring hinge work</t>
        </is>
      </c>
    </row>
    <row r="15" ht="16.5" customHeight="1">
      <c r="A15" s="13" t="inlineStr">
        <is>
          <t>ALL</t>
        </is>
      </c>
      <c r="B15" s="13" t="inlineStr">
        <is>
          <t>All doors</t>
        </is>
      </c>
      <c r="C15" s="13" t="inlineStr">
        <is>
          <t>Intumescent + smoke seals — 10mm x 4mm double fin white</t>
        </is>
      </c>
      <c r="D15" s="13">
        <f>COUNTIF('Door Schedule'!H:H,"*Smoke*")</f>
        <v/>
      </c>
      <c r="E15" s="13" t="inlineStr">
        <is>
          <t>doors</t>
        </is>
      </c>
      <c r="F15" s="23" t="inlineStr">
        <is>
          <t>Ready to order</t>
        </is>
      </c>
      <c r="G15" s="13" t="n"/>
      <c r="H15" s="13" t="n"/>
      <c r="I15" s="13" t="inlineStr">
        <is>
          <t>One linear kit per door</t>
        </is>
      </c>
    </row>
    <row r="16" ht="16.5" customHeight="1">
      <c r="A16" s="19" t="inlineStr">
        <is>
          <t>ALL</t>
        </is>
      </c>
      <c r="B16" s="19" t="inlineStr">
        <is>
          <t>All doors</t>
        </is>
      </c>
      <c r="C16" s="19" t="inlineStr">
        <is>
          <t>Intumescent seals only (no smoke seal)</t>
        </is>
      </c>
      <c r="D16" s="19">
        <f>COUNTIF('Door Schedule'!N:N,"YES")-COUNTIF('Door Schedule'!H:H,"*Smoke*")</f>
        <v/>
      </c>
      <c r="E16" s="19" t="inlineStr">
        <is>
          <t>doors</t>
        </is>
      </c>
      <c r="F16" s="23" t="inlineStr">
        <is>
          <t>Ready to order</t>
        </is>
      </c>
      <c r="G16" s="19" t="n"/>
      <c r="H16" s="19" t="n"/>
      <c r="I16" s="19" t="inlineStr">
        <is>
          <t>Doors with seals action but no smoke seal</t>
        </is>
      </c>
    </row>
    <row r="17" ht="16.5" customHeight="1">
      <c r="A17" s="13" t="inlineStr">
        <is>
          <t>ALL</t>
        </is>
      </c>
      <c r="B17" s="13" t="inlineStr">
        <is>
          <t>All doors</t>
        </is>
      </c>
      <c r="C17" s="13" t="inlineStr">
        <is>
          <t>Fire door signage — 'Keep Shut' / 'Keep Locked'</t>
        </is>
      </c>
      <c r="D17" s="13">
        <f>COUNTIF('Door Schedule'!N:N,"YES")*2</f>
        <v/>
      </c>
      <c r="E17" s="13" t="inlineStr">
        <is>
          <t>no</t>
        </is>
      </c>
      <c r="F17" s="23" t="inlineStr">
        <is>
          <t>Ready to order</t>
        </is>
      </c>
      <c r="G17" s="13" t="n"/>
      <c r="H17" s="13" t="n"/>
      <c r="I17" s="13" t="inlineStr">
        <is>
          <t>2 signs per door (both sides)</t>
        </is>
      </c>
    </row>
    <row r="18" ht="16.5" customHeight="1">
      <c r="A18" s="19" t="inlineStr">
        <is>
          <t>ALL</t>
        </is>
      </c>
      <c r="B18" s="19" t="inlineStr">
        <is>
          <t>All doors</t>
        </is>
      </c>
      <c r="C18" s="19" t="inlineStr">
        <is>
          <t>Drop seal / automatic threshold seal</t>
        </is>
      </c>
      <c r="D18" s="19" t="n">
        <v>0</v>
      </c>
      <c r="E18" s="19" t="inlineStr">
        <is>
          <t>no</t>
        </is>
      </c>
      <c r="F18" s="68" t="inlineStr">
        <is>
          <t>Check survey</t>
        </is>
      </c>
      <c r="G18" s="19" t="n"/>
      <c r="H18" s="19" t="n"/>
      <c r="I18" s="19" t="inlineStr">
        <is>
          <t>Count from doors with B09 code</t>
        </is>
      </c>
    </row>
    <row r="19" ht="16.5" customHeight="1">
      <c r="A19" s="13" t="inlineStr">
        <is>
          <t>ALL</t>
        </is>
      </c>
      <c r="B19" s="13" t="inlineStr">
        <is>
          <t>All doors</t>
        </is>
      </c>
      <c r="C19" s="13" t="inlineStr">
        <is>
          <t>Lever handle / latch set — CE-marked, SSS finish</t>
        </is>
      </c>
      <c r="D19" s="13" t="n">
        <v>0</v>
      </c>
      <c r="E19" s="13" t="inlineStr">
        <is>
          <t>no</t>
        </is>
      </c>
      <c r="F19" s="68" t="inlineStr">
        <is>
          <t>Check survey</t>
        </is>
      </c>
      <c r="G19" s="13" t="n"/>
      <c r="H19" s="13" t="n"/>
      <c r="I19" s="13" t="inlineStr">
        <is>
          <t>Count from doors with B05 code</t>
        </is>
      </c>
    </row>
    <row r="20" ht="16.5" customHeight="1">
      <c r="A20" s="19" t="inlineStr">
        <is>
          <t>ALL</t>
        </is>
      </c>
      <c r="B20" s="19" t="inlineStr">
        <is>
          <t>All doors</t>
        </is>
      </c>
      <c r="C20" s="19" t="inlineStr">
        <is>
          <t>Intumescent mastic — fire-stopping frame gaps</t>
        </is>
      </c>
      <c r="D20" s="19" t="n">
        <v>0</v>
      </c>
      <c r="E20" s="19" t="inlineStr">
        <is>
          <t>items</t>
        </is>
      </c>
      <c r="F20" s="68" t="inlineStr">
        <is>
          <t>Check survey</t>
        </is>
      </c>
      <c r="G20" s="19" t="n"/>
      <c r="H20" s="19" t="n"/>
      <c r="I20" s="19" t="inlineStr">
        <is>
          <t>Count from doors with B06 code</t>
        </is>
      </c>
    </row>
    <row r="21" ht="16.5" customHeight="1">
      <c r="A21" s="69" t="inlineStr">
        <is>
          <t>ALL</t>
        </is>
      </c>
      <c r="B21" s="69" t="inlineStr">
        <is>
          <t>All doors</t>
        </is>
      </c>
      <c r="C21" s="23" t="inlineStr">
        <is>
          <t>Hardwood lipping material (B11) — min density 640kg/m3</t>
        </is>
      </c>
      <c r="D21" s="69">
        <f>COUNTIF('Door Schedule'!P:P,"B11")</f>
        <v/>
      </c>
      <c r="E21" s="69" t="inlineStr">
        <is>
          <t>doors</t>
        </is>
      </c>
      <c r="F21" s="23" t="inlineStr">
        <is>
          <t>Ready to order</t>
        </is>
      </c>
      <c r="G21" s="69" t="n"/>
      <c r="H21" s="69" t="n"/>
      <c r="I21" s="23" t="inlineStr">
        <is>
          <t>NEW: count from B11-coded doors</t>
        </is>
      </c>
    </row>
    <row r="22" ht="16.5" customHeight="1">
      <c r="A22" s="69" t="inlineStr">
        <is>
          <t>ALL</t>
        </is>
      </c>
      <c r="B22" s="69" t="inlineStr">
        <is>
          <t>All doors</t>
        </is>
      </c>
      <c r="C22" s="23" t="inlineStr">
        <is>
          <t>Hardwood timber inserts for void infill (B12)</t>
        </is>
      </c>
      <c r="D22" s="69">
        <f>COUNTIF('Door Schedule'!P:P,"B12")</f>
        <v/>
      </c>
      <c r="E22" s="69" t="inlineStr">
        <is>
          <t>doors</t>
        </is>
      </c>
      <c r="F22" s="23" t="inlineStr">
        <is>
          <t>Ready to order</t>
        </is>
      </c>
      <c r="G22" s="69" t="n"/>
      <c r="H22" s="69" t="n"/>
      <c r="I22" s="23" t="inlineStr">
        <is>
          <t>NEW: count from B12-coded doors. Per void/hole.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zoomScaleNormal="100" workbookViewId="0">
      <pane ySplit="9" topLeftCell="A10" activePane="bottomLeft" state="frozen"/>
      <selection pane="bottomLeft" activeCell="A1" sqref="A1"/>
    </sheetView>
  </sheetViews>
  <sheetFormatPr baseColWidth="8" defaultColWidth="8.6328125" defaultRowHeight="14.5"/>
  <cols>
    <col width="10" customWidth="1" min="1" max="1"/>
    <col width="50" customWidth="1" min="2" max="2"/>
    <col width="14" customWidth="1" min="3" max="3"/>
    <col width="20" customWidth="1" min="4" max="5"/>
  </cols>
  <sheetData>
    <row r="1" ht="21.75" customHeight="1">
      <c r="A1" s="2" t="inlineStr">
        <is>
          <t>FIRE DOOR REMEDIAL WORKS — CLIENT PROPOSAL SUMMARY</t>
        </is>
      </c>
      <c r="B1" s="83" t="n"/>
      <c r="C1" s="83" t="n"/>
      <c r="D1" s="83" t="n"/>
      <c r="E1" s="83" t="n"/>
    </row>
    <row r="3">
      <c r="A3" s="70" t="inlineStr">
        <is>
          <t>Client:</t>
        </is>
      </c>
      <c r="B3" s="31">
        <f>'Quote Sheet'!B4</f>
        <v/>
      </c>
    </row>
    <row r="4">
      <c r="A4" s="70" t="inlineStr">
        <is>
          <t>Site:</t>
        </is>
      </c>
      <c r="B4" s="31">
        <f>'Quote Sheet'!B5</f>
        <v/>
      </c>
    </row>
    <row r="5">
      <c r="A5" s="70" t="inlineStr">
        <is>
          <t>Building:</t>
        </is>
      </c>
      <c r="B5" s="31">
        <f>'Quote Sheet'!B6</f>
        <v/>
      </c>
    </row>
    <row r="6">
      <c r="A6" s="70" t="inlineStr">
        <is>
          <t>Date:</t>
        </is>
      </c>
      <c r="B6" s="31">
        <f>'Quote Sheet'!B3</f>
        <v/>
      </c>
    </row>
    <row r="7">
      <c r="A7" s="70" t="inlineStr">
        <is>
          <t>Quote Ref:</t>
        </is>
      </c>
      <c r="B7" s="31">
        <f>'Quote Sheet'!B2</f>
        <v/>
      </c>
    </row>
    <row r="9" ht="18" customHeight="1">
      <c r="A9" s="9" t="inlineStr">
        <is>
          <t>SECTION</t>
        </is>
      </c>
      <c r="B9" s="9" t="inlineStr">
        <is>
          <t>DESCRIPTION</t>
        </is>
      </c>
      <c r="C9" s="9" t="inlineStr">
        <is>
          <t>NET COST</t>
        </is>
      </c>
      <c r="D9" s="71" t="inlineStr">
        <is>
          <t>OPTION A TOTAL</t>
        </is>
      </c>
      <c r="E9" s="72" t="inlineStr">
        <is>
          <t>OPTION B TOTAL</t>
        </is>
      </c>
    </row>
    <row r="10" ht="27.75" customHeight="1">
      <c r="A10" s="73" t="inlineStr">
        <is>
          <t>A</t>
        </is>
      </c>
      <c r="B10" s="73" t="inlineStr">
        <is>
          <t>Remedial Works (seals, closers, hinges, fire-stopping, signage, lipping, void infill)</t>
        </is>
      </c>
      <c r="C10" s="74">
        <f>SUM(O11,O12,O13,O14,O15,O16,O17,O18,O19,O20,O21,O22,O43,O44,O45,O46,O47)</f>
        <v/>
      </c>
      <c r="D10" s="74">
        <f>SUM(F11,F12,F13,F14,F15,F16,F17,F18,F19,F20,F21,F22,F43,F44,F45,F46,F47)</f>
        <v/>
      </c>
      <c r="E10" s="75" t="inlineStr">
        <is>
          <t>N/A — Option B only</t>
        </is>
      </c>
    </row>
    <row r="11" ht="27.75" customHeight="1">
      <c r="A11" s="76" t="inlineStr">
        <is>
          <t>B</t>
        </is>
      </c>
      <c r="B11" s="76" t="inlineStr">
        <is>
          <t>Full Door Replacements (certified fire door sets — RECOMMENDED)</t>
        </is>
      </c>
      <c r="C11" s="77">
        <f>SUM(O26,O27,O28,O29,O30,O31,O32,O33,O34,O35,O36,O37,O38,O39,O40,O43,O44,O45,O46,O47)</f>
        <v/>
      </c>
      <c r="D11" s="75" t="inlineStr">
        <is>
          <t>N/A — Option A only</t>
        </is>
      </c>
      <c r="E11" s="77">
        <f>SUM(F26,F27,F28,F29,F30,F31,F32,F33,F34,F35,F36,F37,F38,F39,F40,F43,F44,F45,F46,F47)</f>
        <v/>
      </c>
    </row>
    <row r="12" ht="27.75" customHeight="1">
      <c r="A12" s="73" t="inlineStr">
        <is>
          <t>PRE</t>
        </is>
      </c>
      <c r="B12" s="73" t="inlineStr">
        <is>
          <t>Preliminaries &amp; Ancillaries</t>
        </is>
      </c>
      <c r="C12" s="74">
        <f>SUM(O43,O44,O45,O46,O47)</f>
        <v/>
      </c>
      <c r="D12" s="74">
        <f>SUM(F43,F44,F45,F46,F47)</f>
        <v/>
      </c>
      <c r="E12" s="74">
        <f>SUM(F43,F44,F45,F46,F47)</f>
        <v/>
      </c>
    </row>
    <row r="13" ht="21.75" customHeight="1">
      <c r="A13" s="78" t="n"/>
      <c r="B13" s="79" t="inlineStr">
        <is>
          <t>TOTAL INVESTMENT</t>
        </is>
      </c>
      <c r="C13" s="78" t="n"/>
      <c r="D13" s="80">
        <f>SUM(D10:D12)</f>
        <v/>
      </c>
      <c r="E13" s="81">
        <f>SUM(E10:E12)</f>
        <v/>
      </c>
    </row>
    <row r="15" ht="69.75" customHeight="1">
      <c r="A15" s="1" t="inlineStr">
        <is>
          <t>COMPLIANCE NOTE
Option A — Remedial Works Only: These works do not produce a certified fire door set. Fire resistance relies on landlord declaration only. Cheaper but limited assurance.
Option B — Full Replacement (RECOMMENDED): Certified fire door sets installed per fire strategy. Full BS-certified compliance, demonstrable liability protection. This is what the assessor recommends.
Note: Where input survey is Type 2 (Excel) format, Option B total may show 0 — fire strategy drawings are required to confirm the intended fire rating per door set before replacement can be priced.</t>
        </is>
      </c>
      <c r="B15" s="83" t="n"/>
      <c r="C15" s="83" t="n"/>
      <c r="D15" s="83" t="n"/>
      <c r="E15" s="83" t="n"/>
    </row>
    <row r="17" ht="15.75" customHeight="1">
      <c r="B17" s="70" t="inlineStr">
        <is>
          <t>Achieved Margins:</t>
        </is>
      </c>
      <c r="D17" s="82">
        <f>'Quote Sheet'!Q49</f>
        <v/>
      </c>
      <c r="E17" s="82">
        <f>'Quote Sheet'!Q50</f>
        <v/>
      </c>
    </row>
  </sheetData>
  <mergeCells count="2">
    <mergeCell ref="A15:E15"/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2026-03-19T04:59:29Z</dcterms:created>
  <dcterms:modified xmlns:dcterms="http://purl.org/dc/terms/" xmlns:xsi="http://www.w3.org/2001/XMLSchema-instance" xsi:type="dcterms:W3CDTF">2026-03-27T23:48:59Z</dcterms:modified>
  <cp:lastModifiedBy>Westley Harnett</cp:lastModifiedBy>
  <cp:revision>0</cp:revision>
</cp:coreProperties>
</file>