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Door Schedule" sheetId="2" state="visible" r:id="rId2"/>
    <sheet xmlns:r="http://schemas.openxmlformats.org/officeDocument/2006/relationships" name="Quote Sheet" sheetId="3" state="visible" r:id="rId3"/>
    <sheet xmlns:r="http://schemas.openxmlformats.org/officeDocument/2006/relationships" name="Material Call-Off" sheetId="4" state="visible" r:id="rId4"/>
    <sheet xmlns:r="http://schemas.openxmlformats.org/officeDocument/2006/relationships" name="Client Summary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2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593.08</v>
      </c>
      <c r="E6" s="84" t="n">
        <v>250</v>
      </c>
      <c r="F6" s="84" t="n">
        <v>40</v>
      </c>
      <c r="G6" s="84">
        <f>SUM(D6:F6)</f>
        <v/>
      </c>
      <c r="H6" s="16" t="inlineStr"/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682.1799999999999</v>
      </c>
      <c r="E7" s="84" t="n">
        <v>250</v>
      </c>
      <c r="F7" s="84" t="n">
        <v>40</v>
      </c>
      <c r="G7" s="84">
        <f>SUM(D7:F7)</f>
        <v/>
      </c>
      <c r="H7" s="16" t="inlineStr"/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770.1799999999999</v>
      </c>
      <c r="E8" s="84" t="n">
        <v>250</v>
      </c>
      <c r="F8" s="84" t="n">
        <v>40</v>
      </c>
      <c r="G8" s="84">
        <f>SUM(D8:F8)</f>
        <v/>
      </c>
      <c r="H8" s="16" t="inlineStr"/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993.73</v>
      </c>
      <c r="E9" s="84" t="n">
        <v>350</v>
      </c>
      <c r="F9" s="84" t="n">
        <v>80</v>
      </c>
      <c r="G9" s="84">
        <f>SUM(D9:F9)</f>
        <v/>
      </c>
      <c r="H9" s="16" t="inlineStr"/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593.08</v>
      </c>
      <c r="E10" s="84" t="n">
        <v>250</v>
      </c>
      <c r="F10" s="84" t="n">
        <v>40</v>
      </c>
      <c r="G10" s="84">
        <f>SUM(D10:F10)</f>
        <v/>
      </c>
      <c r="H10" s="16" t="inlineStr"/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682.1799999999999</v>
      </c>
      <c r="E11" s="84" t="n">
        <v>250</v>
      </c>
      <c r="F11" s="84" t="n">
        <v>40</v>
      </c>
      <c r="G11" s="84">
        <f>SUM(D11:F11)</f>
        <v/>
      </c>
      <c r="H11" s="16" t="inlineStr"/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770.1799999999999</v>
      </c>
      <c r="E12" s="84" t="n">
        <v>250</v>
      </c>
      <c r="F12" s="84" t="n">
        <v>40</v>
      </c>
      <c r="G12" s="84">
        <f>SUM(D12:F12)</f>
        <v/>
      </c>
      <c r="H12" s="16" t="inlineStr"/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993.73</v>
      </c>
      <c r="E13" s="84" t="n">
        <v>350</v>
      </c>
      <c r="F13" s="84" t="n">
        <v>80</v>
      </c>
      <c r="G13" s="84">
        <f>SUM(D13:F13)</f>
        <v/>
      </c>
      <c r="H13" s="16" t="inlineStr"/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768.65</v>
      </c>
      <c r="E14" s="84" t="n">
        <v>250</v>
      </c>
      <c r="F14" s="84" t="n">
        <v>40</v>
      </c>
      <c r="G14" s="84">
        <f>SUM(D14:F14)</f>
        <v/>
      </c>
      <c r="H14" s="16" t="inlineStr"/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865.15</v>
      </c>
      <c r="E15" s="84" t="n">
        <v>250</v>
      </c>
      <c r="F15" s="84" t="n">
        <v>40</v>
      </c>
      <c r="G15" s="84">
        <f>SUM(D15:F15)</f>
        <v/>
      </c>
      <c r="H15" s="16" t="inlineStr"/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1229.2</v>
      </c>
      <c r="E16" s="84" t="n">
        <v>350</v>
      </c>
      <c r="F16" s="84" t="n">
        <v>80</v>
      </c>
      <c r="G16" s="84">
        <f>SUM(D16:F16)</f>
        <v/>
      </c>
      <c r="H16" s="16" t="inlineStr"/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100</v>
      </c>
      <c r="E17" s="84" t="n">
        <v>0</v>
      </c>
      <c r="F17" s="84" t="n">
        <v>0</v>
      </c>
      <c r="G17" s="84">
        <f>SUM(D17:F17)</f>
        <v/>
      </c>
      <c r="H17" s="16" t="inlineStr"/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150</v>
      </c>
      <c r="E18" s="84" t="n">
        <v>0</v>
      </c>
      <c r="F18" s="84" t="n">
        <v>0</v>
      </c>
      <c r="G18" s="84">
        <f>SUM(D18:F18)</f>
        <v/>
      </c>
      <c r="H18" s="16" t="n"/>
      <c r="I18" s="17" t="inlineStr">
        <is>
          <t>On top of base rate</t>
        </is>
      </c>
      <c r="J18" t="inlineStr">
        <is>
          <t>⚠️ MOCK: Alex to confirm — under investigation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139.18</v>
      </c>
      <c r="E19" s="84" t="n">
        <v>0</v>
      </c>
      <c r="F19" s="84" t="n">
        <v>0</v>
      </c>
      <c r="G19" s="84">
        <f>SUM(D19:F19)</f>
        <v/>
      </c>
      <c r="H19" s="16" t="inlineStr"/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200</v>
      </c>
      <c r="E20" s="84" t="n">
        <v>0</v>
      </c>
      <c r="F20" s="84" t="n">
        <v>0</v>
      </c>
      <c r="G20" s="84">
        <f>SUM(D20:F20)</f>
        <v/>
      </c>
      <c r="H20" s="16" t="n"/>
      <c r="I20" s="17" t="inlineStr">
        <is>
          <t>Larger vision panel</t>
        </is>
      </c>
      <c r="J20" t="inlineStr">
        <is>
          <t>⚠️ MOCK: Alex to confirm price for larger FD30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67.65000000000001</v>
      </c>
      <c r="E22" s="84" t="n">
        <v>75</v>
      </c>
      <c r="F22" s="84" t="n">
        <v>0</v>
      </c>
      <c r="G22" s="84">
        <f>SUM(D22:F22)</f>
        <v/>
      </c>
      <c r="H22" s="16" t="inlineStr"/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67.65000000000001</v>
      </c>
      <c r="E23" s="84" t="n">
        <v>75</v>
      </c>
      <c r="F23" s="84" t="n">
        <v>0</v>
      </c>
      <c r="G23" s="84">
        <f>SUM(D23:F23)</f>
        <v/>
      </c>
      <c r="H23" s="16" t="inlineStr"/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45</v>
      </c>
      <c r="E24" s="84" t="n">
        <v>37.5</v>
      </c>
      <c r="F24" s="84" t="n">
        <v>0</v>
      </c>
      <c r="G24" s="84">
        <f>SUM(D24:F24)</f>
        <v/>
      </c>
      <c r="H24" s="16" t="inlineStr"/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15</v>
      </c>
      <c r="E25" s="84" t="n">
        <v>75</v>
      </c>
      <c r="F25" s="84" t="n">
        <v>0</v>
      </c>
      <c r="G25" s="84">
        <f>SUM(D25:F25)</f>
        <v/>
      </c>
      <c r="H25" s="16" t="inlineStr"/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25</v>
      </c>
      <c r="E26" s="84" t="n">
        <v>75</v>
      </c>
      <c r="F26" s="84" t="n">
        <v>0</v>
      </c>
      <c r="G26" s="84">
        <f>SUM(D26:F26)</f>
        <v/>
      </c>
      <c r="H26" s="16" t="inlineStr"/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10</v>
      </c>
      <c r="E27" s="84" t="n">
        <v>75</v>
      </c>
      <c r="F27" s="84" t="n">
        <v>0</v>
      </c>
      <c r="G27" s="84">
        <f>SUM(D27:F27)</f>
        <v/>
      </c>
      <c r="H27" s="16" t="inlineStr"/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10</v>
      </c>
      <c r="E28" s="84" t="n">
        <v>37.5</v>
      </c>
      <c r="F28" s="84" t="n">
        <v>0</v>
      </c>
      <c r="G28" s="84">
        <f>SUM(D28:F28)</f>
        <v/>
      </c>
      <c r="H28" s="16" t="inlineStr"/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325</v>
      </c>
      <c r="E29" s="84" t="n">
        <v>0</v>
      </c>
      <c r="F29" s="84" t="n">
        <v>0</v>
      </c>
      <c r="G29" s="84">
        <f>SUM(D29:F29)</f>
        <v/>
      </c>
      <c r="H29" s="16" t="n"/>
      <c r="I29" s="21" t="inlineStr">
        <is>
          <t>Requires electrical connection</t>
        </is>
      </c>
      <c r="J29" t="inlineStr">
        <is>
          <t>⚠️ MOCK: Alex cannot price access control items — quote separately per job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125</v>
      </c>
      <c r="E30" s="84" t="n">
        <v>0</v>
      </c>
      <c r="F30" s="84" t="n">
        <v>0</v>
      </c>
      <c r="G30" s="84">
        <f>SUM(D30:F30)</f>
        <v/>
      </c>
      <c r="H30" s="16" t="n"/>
      <c r="I30" s="17" t="inlineStr">
        <is>
          <t>Per door</t>
        </is>
      </c>
      <c r="J30" t="inlineStr">
        <is>
          <t>⚠️ MOCK: Alex cannot price access control items — quote separately per job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300</v>
      </c>
      <c r="E31" s="84" t="n">
        <v>0</v>
      </c>
      <c r="F31" s="84" t="n">
        <v>0</v>
      </c>
      <c r="G31" s="84">
        <f>SUM(D31:F31)</f>
        <v/>
      </c>
      <c r="H31" s="16" t="n"/>
      <c r="I31" s="21" t="inlineStr">
        <is>
          <t>Labour only</t>
        </is>
      </c>
      <c r="J31" t="inlineStr">
        <is>
          <t>⚠️ MOCK: Hourly rate £37.50/hr or minimum 1 day carpenter £300 cost — Matt to confirm per-door rate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30</v>
      </c>
      <c r="E32" s="84" t="n">
        <v>37.5</v>
      </c>
      <c r="F32" s="84" t="n">
        <v>0</v>
      </c>
      <c r="G32" s="84">
        <f>SUM(D32:F32)</f>
        <v/>
      </c>
      <c r="H32" s="16" t="inlineStr"/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500</v>
      </c>
      <c r="E33" s="84" t="n">
        <v>0</v>
      </c>
      <c r="F33" s="84" t="n">
        <v>0</v>
      </c>
      <c r="G33" s="84">
        <f>SUM(D33:F33)</f>
        <v/>
      </c>
      <c r="H33" s="16" t="n"/>
      <c r="I33" s="25" t="inlineStr">
        <is>
          <t>Covers ART 02 in EAS/FireDNA system. Appears frequently on tenant doors. Per hole/void.</t>
        </is>
      </c>
      <c r="J33" t="inlineStr">
        <is>
          <t>⚠️ MOCK: Hourly rate £62.50/hr or minimum 1 day magic man £500 cost — Matt to confirm per-door rate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170</v>
      </c>
      <c r="E35" s="84" t="n">
        <v>0</v>
      </c>
      <c r="F35" s="84" t="n">
        <v>0</v>
      </c>
      <c r="G35" s="84">
        <f>SUM(D35:F35)</f>
        <v/>
      </c>
      <c r="H35" s="16" t="n"/>
      <c r="I35" s="21" t="inlineStr">
        <is>
          <t>Travel, van, tools, PPE</t>
        </is>
      </c>
      <c r="J35" t="inlineStr">
        <is>
          <t>⚠️ MOCK: Alex to confirm call-out rate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300</v>
      </c>
      <c r="E36" s="84" t="n">
        <v>0</v>
      </c>
      <c r="F36" s="84" t="n">
        <v>0</v>
      </c>
      <c r="G36" s="84">
        <f>SUM(D36:F36)</f>
        <v/>
      </c>
      <c r="H36" s="16" t="n"/>
      <c r="I36" s="17" t="inlineStr">
        <is>
          <t>Removed doors, packaging, debris</t>
        </is>
      </c>
      <c r="J36" t="inlineStr">
        <is>
          <t>⚠️ MOCK: Alex: £300 minimum per visit — not per door. Matt to confirm how to allocate across jobs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40</v>
      </c>
      <c r="E37" s="84" t="n">
        <v>0</v>
      </c>
      <c r="F37" s="84" t="n">
        <v>0</v>
      </c>
      <c r="G37" s="84">
        <f>SUM(D37:F37)</f>
        <v/>
      </c>
      <c r="H37" s="16" t="n"/>
      <c r="I37" s="21" t="inlineStr">
        <is>
          <t>Photo record, cert, handover pack</t>
        </is>
      </c>
      <c r="J37" t="inlineStr">
        <is>
          <t>⚠️ MOCK: Alex to confirm per-door certification rate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>
        <f>SUM(D38:F38)</f>
        <v/>
      </c>
      <c r="H38" s="16">
        <f>SUM(D38:G38)</f>
        <v/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500</v>
      </c>
      <c r="E39" s="84" t="n">
        <v>0</v>
      </c>
      <c r="F39" s="84" t="n">
        <v>0</v>
      </c>
      <c r="G39" s="84">
        <f>SUM(D39:F39)</f>
        <v/>
      </c>
      <c r="H39" s="16" t="n"/>
      <c r="I39" s="21" t="inlineStr">
        <is>
          <t>Where standard access not possible</t>
        </is>
      </c>
      <c r="J39" t="inlineStr">
        <is>
          <t>⚠️ MOCK: Job by job basis — Alex cannot provide standard rate</t>
        </is>
      </c>
    </row>
    <row r="40"/>
    <row r="41"/>
    <row r="42"/>
    <row r="43"/>
    <row r="44"/>
    <row r="45"/>
    <row r="46"/>
    <row r="47"/>
    <row r="48"/>
    <row r="49"/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8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13" t="inlineStr">
        <is>
          <t>A01-L2</t>
        </is>
      </c>
      <c r="B4" s="13" t="inlineStr">
        <is>
          <t>Core 1 tenant DB riser</t>
        </is>
      </c>
      <c r="C4" s="13" t="inlineStr">
        <is>
          <t>Tenant/Riser/AHU</t>
        </is>
      </c>
      <c r="D4" s="13" t="inlineStr">
        <is>
          <t>FD30</t>
        </is>
      </c>
      <c r="E4" s="13" t="inlineStr">
        <is>
          <t>Single Leaf</t>
        </is>
      </c>
      <c r="F4" s="13" t="inlineStr">
        <is>
          <t>Unknown</t>
        </is>
      </c>
      <c r="G4" s="13" t="inlineStr">
        <is>
          <t>Paint</t>
        </is>
      </c>
      <c r="H4" s="13" t="inlineStr">
        <is>
          <t>None</t>
        </is>
      </c>
      <c r="I4" s="13" t="inlineStr">
        <is>
          <t>Unknown</t>
        </is>
      </c>
      <c r="J4" s="13" t="inlineStr">
        <is>
          <t>None</t>
        </is>
      </c>
      <c r="K4" s="13" t="inlineStr">
        <is>
          <t>ART01, ART02, ART04, ART19</t>
        </is>
      </c>
      <c r="L4" s="13" t="inlineStr">
        <is>
          <t>High</t>
        </is>
      </c>
      <c r="M4" s="13" t="inlineStr">
        <is>
          <t>06/09/2026</t>
        </is>
      </c>
      <c r="N4" s="27" t="inlineStr">
        <is>
          <t>YES</t>
        </is>
      </c>
      <c r="O4" s="13" t="inlineStr">
        <is>
          <t>NO</t>
        </is>
      </c>
      <c r="P4" s="28" t="inlineStr">
        <is>
          <t>B11</t>
        </is>
      </c>
      <c r="Q4" s="13" t="n">
        <v>1</v>
      </c>
      <c r="R4" s="13" t="inlineStr">
        <is>
          <t>NO</t>
        </is>
      </c>
      <c r="S4" s="13" t="inlineStr">
        <is>
          <t>NO</t>
        </is>
      </c>
      <c r="T4" s="13" t="inlineStr">
        <is>
          <t>NO</t>
        </is>
      </c>
      <c r="U4" s="13" t="inlineStr">
        <is>
          <t>NO</t>
        </is>
      </c>
      <c r="V4" s="13" t="inlineStr">
        <is>
          <t>ARTs: 01,02,04,19</t>
        </is>
      </c>
    </row>
    <row r="5" ht="18" customHeight="1">
      <c r="A5" s="19" t="inlineStr">
        <is>
          <t>A02-L2</t>
        </is>
      </c>
      <c r="B5" s="19" t="inlineStr">
        <is>
          <t>Core 1 tenant door</t>
        </is>
      </c>
      <c r="C5" s="19" t="inlineStr">
        <is>
          <t>Tenant/Riser/AHU</t>
        </is>
      </c>
      <c r="D5" s="19" t="inlineStr">
        <is>
          <t>FD60</t>
        </is>
      </c>
      <c r="E5" s="19" t="inlineStr">
        <is>
          <t>Single Leaf</t>
        </is>
      </c>
      <c r="F5" s="19" t="inlineStr">
        <is>
          <t>Unknown</t>
        </is>
      </c>
      <c r="G5" s="19" t="inlineStr">
        <is>
          <t>Unknown</t>
        </is>
      </c>
      <c r="H5" s="19" t="inlineStr">
        <is>
          <t>Checked</t>
        </is>
      </c>
      <c r="I5" s="19" t="inlineStr">
        <is>
          <t>Overhead Closer</t>
        </is>
      </c>
      <c r="J5" s="19" t="inlineStr">
        <is>
          <t>None</t>
        </is>
      </c>
      <c r="K5" s="19" t="inlineStr">
        <is>
          <t>ART02, ART05</t>
        </is>
      </c>
      <c r="L5" s="19" t="inlineStr">
        <is>
          <t>High</t>
        </is>
      </c>
      <c r="M5" s="19" t="inlineStr">
        <is>
          <t>06/09/2026</t>
        </is>
      </c>
      <c r="N5" s="27" t="inlineStr">
        <is>
          <t>YES</t>
        </is>
      </c>
      <c r="O5" s="19" t="inlineStr">
        <is>
          <t>NO</t>
        </is>
      </c>
      <c r="P5" s="28" t="inlineStr">
        <is>
          <t>B12</t>
        </is>
      </c>
      <c r="Q5" s="19" t="n">
        <v>1</v>
      </c>
      <c r="R5" s="19" t="inlineStr">
        <is>
          <t>NO</t>
        </is>
      </c>
      <c r="S5" s="29" t="inlineStr">
        <is>
          <t>NO</t>
        </is>
      </c>
      <c r="T5" s="19" t="inlineStr">
        <is>
          <t>NO</t>
        </is>
      </c>
      <c r="U5" s="19" t="inlineStr">
        <is>
          <t>NO</t>
        </is>
      </c>
      <c r="V5" s="19" t="inlineStr">
        <is>
          <t>ARTs: 02,05</t>
        </is>
      </c>
    </row>
    <row r="6" ht="18" customHeight="1">
      <c r="A6" s="13" t="inlineStr">
        <is>
          <t>A03-L2</t>
        </is>
      </c>
      <c r="B6" s="13" t="inlineStr">
        <is>
          <t>AHU 1 inner door</t>
        </is>
      </c>
      <c r="C6" s="13" t="inlineStr">
        <is>
          <t>Tenant/Riser/AHU</t>
        </is>
      </c>
      <c r="D6" s="13" t="inlineStr">
        <is>
          <t>Nominal</t>
        </is>
      </c>
      <c r="E6" s="13" t="inlineStr">
        <is>
          <t>Single Leaf</t>
        </is>
      </c>
      <c r="F6" s="13" t="inlineStr">
        <is>
          <t>Unknown</t>
        </is>
      </c>
      <c r="G6" s="13" t="inlineStr">
        <is>
          <t>Paint</t>
        </is>
      </c>
      <c r="H6" s="13" t="inlineStr">
        <is>
          <t>Missing</t>
        </is>
      </c>
      <c r="I6" s="13" t="inlineStr">
        <is>
          <t>Unknown</t>
        </is>
      </c>
      <c r="J6" s="13" t="inlineStr">
        <is>
          <t>None</t>
        </is>
      </c>
      <c r="K6" s="13" t="inlineStr">
        <is>
          <t>ART04, ART11, ART16</t>
        </is>
      </c>
      <c r="L6" s="13" t="inlineStr">
        <is>
          <t>High</t>
        </is>
      </c>
      <c r="M6" s="13" t="inlineStr">
        <is>
          <t>06/09/2026</t>
        </is>
      </c>
      <c r="N6" s="27" t="inlineStr">
        <is>
          <t>YES</t>
        </is>
      </c>
      <c r="O6" s="13" t="inlineStr">
        <is>
          <t>NO</t>
        </is>
      </c>
      <c r="P6" s="28" t="inlineStr">
        <is>
          <t>B10</t>
        </is>
      </c>
      <c r="Q6" s="13" t="n">
        <v>1</v>
      </c>
      <c r="R6" s="13" t="inlineStr">
        <is>
          <t>NO</t>
        </is>
      </c>
      <c r="S6" s="13" t="inlineStr">
        <is>
          <t>NO</t>
        </is>
      </c>
      <c r="T6" s="13" t="inlineStr">
        <is>
          <t>NO</t>
        </is>
      </c>
      <c r="U6" s="13" t="inlineStr">
        <is>
          <t>NO</t>
        </is>
      </c>
      <c r="V6" s="13" t="inlineStr">
        <is>
          <t>ARTs: 04,11,16</t>
        </is>
      </c>
    </row>
    <row r="7" ht="18" customHeight="1">
      <c r="A7" s="19" t="inlineStr">
        <is>
          <t>A04-L2</t>
        </is>
      </c>
      <c r="B7" s="19" t="inlineStr">
        <is>
          <t>AHU 1 outer door</t>
        </is>
      </c>
      <c r="C7" s="19" t="inlineStr">
        <is>
          <t>Tenant/Riser/AHU</t>
        </is>
      </c>
      <c r="D7" s="19" t="inlineStr">
        <is>
          <t>Nominal</t>
        </is>
      </c>
      <c r="E7" s="19" t="inlineStr">
        <is>
          <t>Double Leaf</t>
        </is>
      </c>
      <c r="F7" s="19" t="inlineStr">
        <is>
          <t>Unknown</t>
        </is>
      </c>
      <c r="G7" s="19" t="inlineStr">
        <is>
          <t>Paint</t>
        </is>
      </c>
      <c r="H7" s="19" t="inlineStr">
        <is>
          <t>Damaged</t>
        </is>
      </c>
      <c r="I7" s="19" t="inlineStr">
        <is>
          <t>Unknown</t>
        </is>
      </c>
      <c r="J7" s="19" t="inlineStr">
        <is>
          <t>None</t>
        </is>
      </c>
      <c r="K7" s="19" t="inlineStr">
        <is>
          <t>ART04, ART10, ART11, ART22</t>
        </is>
      </c>
      <c r="L7" s="19" t="inlineStr">
        <is>
          <t>High</t>
        </is>
      </c>
      <c r="M7" s="19" t="inlineStr">
        <is>
          <t>06/09/2026</t>
        </is>
      </c>
      <c r="N7" s="27" t="inlineStr">
        <is>
          <t>YES</t>
        </is>
      </c>
      <c r="O7" s="19" t="inlineStr">
        <is>
          <t>NO</t>
        </is>
      </c>
      <c r="P7" s="28" t="inlineStr">
        <is>
          <t>B10</t>
        </is>
      </c>
      <c r="Q7" s="19" t="n">
        <v>1</v>
      </c>
      <c r="R7" s="19" t="inlineStr">
        <is>
          <t>NO</t>
        </is>
      </c>
      <c r="S7" s="19" t="inlineStr">
        <is>
          <t>NO</t>
        </is>
      </c>
      <c r="T7" s="19" t="inlineStr">
        <is>
          <t>NO</t>
        </is>
      </c>
      <c r="U7" s="19" t="inlineStr">
        <is>
          <t>NO</t>
        </is>
      </c>
      <c r="V7" s="19" t="inlineStr">
        <is>
          <t>ARTs: 04,10,11,22</t>
        </is>
      </c>
    </row>
    <row r="8" ht="18" customHeight="1">
      <c r="A8" s="13" t="inlineStr">
        <is>
          <t>A05-L2</t>
        </is>
      </c>
      <c r="B8" s="13" t="inlineStr">
        <is>
          <t>AHU 2 outer door</t>
        </is>
      </c>
      <c r="C8" s="13" t="inlineStr">
        <is>
          <t>Tenant/Riser/AHU</t>
        </is>
      </c>
      <c r="D8" s="13" t="inlineStr">
        <is>
          <t>FD30</t>
        </is>
      </c>
      <c r="E8" s="13" t="inlineStr">
        <is>
          <t>Double Leaf</t>
        </is>
      </c>
      <c r="F8" s="13" t="inlineStr">
        <is>
          <t>Unknown</t>
        </is>
      </c>
      <c r="G8" s="13" t="inlineStr">
        <is>
          <t>Paint</t>
        </is>
      </c>
      <c r="H8" s="13" t="inlineStr">
        <is>
          <t>Checked</t>
        </is>
      </c>
      <c r="I8" s="13" t="inlineStr">
        <is>
          <t>Unknown</t>
        </is>
      </c>
      <c r="J8" s="13" t="inlineStr">
        <is>
          <t>None</t>
        </is>
      </c>
      <c r="K8" s="13" t="inlineStr">
        <is>
          <t>ART04, ART10</t>
        </is>
      </c>
      <c r="L8" s="13" t="inlineStr">
        <is>
          <t>High</t>
        </is>
      </c>
      <c r="M8" s="13" t="inlineStr">
        <is>
          <t>06/09/2026</t>
        </is>
      </c>
      <c r="N8" s="27" t="inlineStr">
        <is>
          <t>YES</t>
        </is>
      </c>
      <c r="O8" s="13" t="inlineStr">
        <is>
          <t>NO</t>
        </is>
      </c>
      <c r="P8" s="28" t="inlineStr">
        <is>
          <t>B10</t>
        </is>
      </c>
      <c r="Q8" s="13" t="n">
        <v>1</v>
      </c>
      <c r="R8" s="13" t="inlineStr">
        <is>
          <t>NO</t>
        </is>
      </c>
      <c r="S8" s="29" t="inlineStr">
        <is>
          <t>NO</t>
        </is>
      </c>
      <c r="T8" s="13" t="inlineStr">
        <is>
          <t>NO</t>
        </is>
      </c>
      <c r="U8" s="13" t="inlineStr">
        <is>
          <t>NO</t>
        </is>
      </c>
      <c r="V8" s="13" t="inlineStr">
        <is>
          <t>ARTs: 04,10</t>
        </is>
      </c>
    </row>
    <row r="9" ht="18" customHeight="1">
      <c r="A9" s="19" t="inlineStr">
        <is>
          <t>A06-L2</t>
        </is>
      </c>
      <c r="B9" s="19" t="inlineStr">
        <is>
          <t>AHU 2 inner door</t>
        </is>
      </c>
      <c r="C9" s="19" t="inlineStr">
        <is>
          <t>Tenant/Riser/AHU</t>
        </is>
      </c>
      <c r="D9" s="19" t="inlineStr">
        <is>
          <t>FD60</t>
        </is>
      </c>
      <c r="E9" s="19" t="inlineStr">
        <is>
          <t>Single Leaf</t>
        </is>
      </c>
      <c r="F9" s="19" t="inlineStr">
        <is>
          <t>Unknown</t>
        </is>
      </c>
      <c r="G9" s="19" t="inlineStr">
        <is>
          <t>Paint</t>
        </is>
      </c>
      <c r="H9" s="19" t="inlineStr">
        <is>
          <t>Checked</t>
        </is>
      </c>
      <c r="I9" s="19" t="inlineStr">
        <is>
          <t>Unknown</t>
        </is>
      </c>
      <c r="J9" s="19" t="inlineStr">
        <is>
          <t>None</t>
        </is>
      </c>
      <c r="K9" s="19" t="inlineStr">
        <is>
          <t>ART04, ART13</t>
        </is>
      </c>
      <c r="L9" s="19" t="inlineStr">
        <is>
          <t>High</t>
        </is>
      </c>
      <c r="M9" s="19" t="inlineStr">
        <is>
          <t>06/09/2026</t>
        </is>
      </c>
      <c r="N9" s="19" t="inlineStr">
        <is>
          <t>YES</t>
        </is>
      </c>
      <c r="O9" s="27" t="inlineStr">
        <is>
          <t>NO</t>
        </is>
      </c>
      <c r="P9" s="28" t="inlineStr">
        <is>
          <t>B10</t>
        </is>
      </c>
      <c r="Q9" s="19" t="n">
        <v>1</v>
      </c>
      <c r="R9" s="19" t="inlineStr">
        <is>
          <t>NO</t>
        </is>
      </c>
      <c r="S9" s="19" t="inlineStr">
        <is>
          <t>NO</t>
        </is>
      </c>
      <c r="T9" s="19" t="inlineStr">
        <is>
          <t>NO</t>
        </is>
      </c>
      <c r="U9" s="19" t="inlineStr">
        <is>
          <t>NO</t>
        </is>
      </c>
      <c r="V9" s="30" t="inlineStr">
        <is>
          <t>ARTs: 04,13</t>
        </is>
      </c>
    </row>
    <row r="10" ht="18" customHeight="1">
      <c r="A10" s="13" t="inlineStr">
        <is>
          <t>A07-L2</t>
        </is>
      </c>
      <c r="B10" s="13" t="inlineStr">
        <is>
          <t>AHU 2 DB riser</t>
        </is>
      </c>
      <c r="C10" s="13" t="inlineStr">
        <is>
          <t>Tenant/Riser/AHU</t>
        </is>
      </c>
      <c r="D10" s="13" t="inlineStr">
        <is>
          <t>Nominal</t>
        </is>
      </c>
      <c r="E10" s="13" t="inlineStr">
        <is>
          <t>Single Leaf</t>
        </is>
      </c>
      <c r="F10" s="13" t="inlineStr">
        <is>
          <t>Unknown</t>
        </is>
      </c>
      <c r="G10" s="13" t="inlineStr">
        <is>
          <t>Paint</t>
        </is>
      </c>
      <c r="H10" s="13" t="inlineStr">
        <is>
          <t>Checked</t>
        </is>
      </c>
      <c r="I10" s="13" t="inlineStr">
        <is>
          <t>Unknown</t>
        </is>
      </c>
      <c r="J10" s="13" t="inlineStr">
        <is>
          <t>None</t>
        </is>
      </c>
      <c r="K10" s="13" t="inlineStr">
        <is>
          <t>ART02, ART16, ART19</t>
        </is>
      </c>
      <c r="L10" s="13" t="inlineStr">
        <is>
          <t>High</t>
        </is>
      </c>
      <c r="M10" s="13" t="inlineStr">
        <is>
          <t>06/09/2026</t>
        </is>
      </c>
      <c r="N10" s="13" t="inlineStr">
        <is>
          <t>YES</t>
        </is>
      </c>
      <c r="O10" s="27" t="inlineStr">
        <is>
          <t>NO</t>
        </is>
      </c>
      <c r="P10" s="28" t="inlineStr">
        <is>
          <t>B12</t>
        </is>
      </c>
      <c r="Q10" s="13" t="n">
        <v>1</v>
      </c>
      <c r="R10" s="13" t="inlineStr">
        <is>
          <t>NO</t>
        </is>
      </c>
      <c r="S10" s="13" t="inlineStr">
        <is>
          <t>NO</t>
        </is>
      </c>
      <c r="T10" s="13" t="inlineStr">
        <is>
          <t>NO</t>
        </is>
      </c>
      <c r="U10" s="13" t="inlineStr">
        <is>
          <t>NO</t>
        </is>
      </c>
      <c r="V10" s="30" t="inlineStr">
        <is>
          <t>ARTs: 02,16,19</t>
        </is>
      </c>
    </row>
    <row r="11" ht="18" customHeight="1">
      <c r="A11" s="19" t="inlineStr">
        <is>
          <t>A08-L2</t>
        </is>
      </c>
      <c r="B11" s="19" t="inlineStr">
        <is>
          <t>AHU 2 riser</t>
        </is>
      </c>
      <c r="C11" s="19" t="inlineStr">
        <is>
          <t>Tenant/Riser/AHU</t>
        </is>
      </c>
      <c r="D11" s="19" t="inlineStr">
        <is>
          <t>FD30</t>
        </is>
      </c>
      <c r="E11" s="19" t="inlineStr">
        <is>
          <t>Single Leaf</t>
        </is>
      </c>
      <c r="F11" s="19" t="inlineStr">
        <is>
          <t>Unknown</t>
        </is>
      </c>
      <c r="G11" s="19" t="inlineStr">
        <is>
          <t>Paint</t>
        </is>
      </c>
      <c r="H11" s="19" t="inlineStr">
        <is>
          <t>Checked</t>
        </is>
      </c>
      <c r="I11" s="19" t="inlineStr">
        <is>
          <t>Unknown</t>
        </is>
      </c>
      <c r="J11" s="19" t="inlineStr">
        <is>
          <t>None</t>
        </is>
      </c>
      <c r="K11" s="19" t="inlineStr">
        <is>
          <t>ART02, ART04, ART16, ART19</t>
        </is>
      </c>
      <c r="L11" s="19" t="inlineStr">
        <is>
          <t>High</t>
        </is>
      </c>
      <c r="M11" s="19" t="inlineStr">
        <is>
          <t>06/09/2026</t>
        </is>
      </c>
      <c r="N11" s="27" t="inlineStr">
        <is>
          <t>YES</t>
        </is>
      </c>
      <c r="O11" s="19" t="inlineStr">
        <is>
          <t>NO</t>
        </is>
      </c>
      <c r="P11" s="28" t="inlineStr">
        <is>
          <t>B12</t>
        </is>
      </c>
      <c r="Q11" s="19" t="n">
        <v>1</v>
      </c>
      <c r="R11" s="19" t="inlineStr">
        <is>
          <t>NO</t>
        </is>
      </c>
      <c r="S11" s="19" t="inlineStr">
        <is>
          <t>NO</t>
        </is>
      </c>
      <c r="T11" s="19" t="inlineStr">
        <is>
          <t>NO</t>
        </is>
      </c>
      <c r="U11" s="19" t="inlineStr">
        <is>
          <t>NO</t>
        </is>
      </c>
      <c r="V11" s="19" t="inlineStr">
        <is>
          <t>ARTs: 02,04,16,19</t>
        </is>
      </c>
    </row>
    <row r="12">
      <c r="A12" t="inlineStr">
        <is>
          <t>A09-L2</t>
        </is>
      </c>
      <c r="B12" t="inlineStr">
        <is>
          <t>Core 3 tenant door</t>
        </is>
      </c>
      <c r="C12" t="inlineStr">
        <is>
          <t>Tenant/Riser/AHU</t>
        </is>
      </c>
      <c r="D12" t="inlineStr">
        <is>
          <t>FD60</t>
        </is>
      </c>
      <c r="E12" t="inlineStr">
        <is>
          <t>Single Leaf</t>
        </is>
      </c>
      <c r="F12" t="inlineStr">
        <is>
          <t>Unknown</t>
        </is>
      </c>
      <c r="G12" t="inlineStr">
        <is>
          <t>Unknown</t>
        </is>
      </c>
      <c r="H12" t="inlineStr">
        <is>
          <t>Checked</t>
        </is>
      </c>
      <c r="I12" t="inlineStr">
        <is>
          <t>Unknown</t>
        </is>
      </c>
      <c r="J12" t="inlineStr">
        <is>
          <t>None</t>
        </is>
      </c>
      <c r="K12" t="inlineStr">
        <is>
          <t>ART02, ART04, ART13</t>
        </is>
      </c>
      <c r="L12" t="inlineStr">
        <is>
          <t>High</t>
        </is>
      </c>
      <c r="M12" t="inlineStr">
        <is>
          <t>06/09/2026</t>
        </is>
      </c>
      <c r="N12" t="inlineStr">
        <is>
          <t>YES</t>
        </is>
      </c>
      <c r="O12" t="inlineStr">
        <is>
          <t>NO</t>
        </is>
      </c>
      <c r="P12" t="inlineStr">
        <is>
          <t>B12</t>
        </is>
      </c>
      <c r="Q12" t="n">
        <v>1</v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ARTs: 02,04,13</t>
        </is>
      </c>
    </row>
    <row r="13">
      <c r="A13" s="87" t="inlineStr">
        <is>
          <t>A10-L2</t>
        </is>
      </c>
      <c r="B13" s="87" t="inlineStr">
        <is>
          <t>Core 3 red hub room MDF</t>
        </is>
      </c>
      <c r="C13" s="87" t="inlineStr">
        <is>
          <t>Tenant/Riser/AHU</t>
        </is>
      </c>
      <c r="D13" s="87" t="inlineStr">
        <is>
          <t>FD30</t>
        </is>
      </c>
      <c r="E13" s="87" t="inlineStr">
        <is>
          <t>Single Leaf</t>
        </is>
      </c>
      <c r="F13" s="87" t="inlineStr">
        <is>
          <t>Unknown</t>
        </is>
      </c>
      <c r="G13" s="87" t="inlineStr">
        <is>
          <t>Paint</t>
        </is>
      </c>
      <c r="H13" s="87" t="inlineStr">
        <is>
          <t>Checked</t>
        </is>
      </c>
      <c r="I13" s="87" t="inlineStr">
        <is>
          <t>Overhead Closer</t>
        </is>
      </c>
      <c r="J13" s="87" t="inlineStr">
        <is>
          <t>None</t>
        </is>
      </c>
      <c r="K13" s="87" t="inlineStr">
        <is>
          <t>Compliant</t>
        </is>
      </c>
      <c r="L13" s="87" t="inlineStr">
        <is>
          <t>N/A</t>
        </is>
      </c>
      <c r="M13" s="87" t="inlineStr">
        <is>
          <t>06/09/2026</t>
        </is>
      </c>
      <c r="N13" s="87" t="inlineStr">
        <is>
          <t>NO</t>
        </is>
      </c>
      <c r="O13" s="87" t="inlineStr">
        <is>
          <t>NO</t>
        </is>
      </c>
      <c r="P13" s="87" t="inlineStr"/>
      <c r="Q13" s="87" t="n">
        <v>1</v>
      </c>
      <c r="R13" s="87" t="inlineStr">
        <is>
          <t>NO</t>
        </is>
      </c>
      <c r="S13" s="87" t="inlineStr">
        <is>
          <t>NO</t>
        </is>
      </c>
      <c r="T13" s="87" t="inlineStr">
        <is>
          <t>NO</t>
        </is>
      </c>
      <c r="U13" s="87" t="inlineStr">
        <is>
          <t>NO</t>
        </is>
      </c>
      <c r="V13" s="87" t="inlineStr">
        <is>
          <t>No actions required</t>
        </is>
      </c>
    </row>
    <row r="14">
      <c r="A14" t="inlineStr">
        <is>
          <t>A11-L2</t>
        </is>
      </c>
      <c r="B14" t="inlineStr">
        <is>
          <t>Core 5 tenant door to WCs</t>
        </is>
      </c>
      <c r="C14" t="inlineStr">
        <is>
          <t>Tenant/Riser/AHU</t>
        </is>
      </c>
      <c r="D14" t="inlineStr">
        <is>
          <t>FD30</t>
        </is>
      </c>
      <c r="E14" t="inlineStr">
        <is>
          <t>Single Leaf</t>
        </is>
      </c>
      <c r="F14" t="inlineStr">
        <is>
          <t>Unknown</t>
        </is>
      </c>
      <c r="G14" t="inlineStr">
        <is>
          <t>Unknown</t>
        </is>
      </c>
      <c r="H14" t="inlineStr">
        <is>
          <t>Checked</t>
        </is>
      </c>
      <c r="I14" t="inlineStr">
        <is>
          <t>Overhead Closer</t>
        </is>
      </c>
      <c r="J14" t="inlineStr">
        <is>
          <t>Vision Panel</t>
        </is>
      </c>
      <c r="K14" t="inlineStr">
        <is>
          <t>ART13, ART19, ART22</t>
        </is>
      </c>
      <c r="L14" t="inlineStr">
        <is>
          <t>High</t>
        </is>
      </c>
      <c r="M14" t="inlineStr">
        <is>
          <t>06/09/2026</t>
        </is>
      </c>
      <c r="N14" t="inlineStr">
        <is>
          <t>YES</t>
        </is>
      </c>
      <c r="O14" t="inlineStr">
        <is>
          <t>NO</t>
        </is>
      </c>
      <c r="P14" t="inlineStr">
        <is>
          <t>B04</t>
        </is>
      </c>
      <c r="Q14" t="n">
        <v>1</v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YES</t>
        </is>
      </c>
      <c r="V14" t="inlineStr">
        <is>
          <t>ARTs: 13,19,22</t>
        </is>
      </c>
    </row>
    <row r="15">
      <c r="A15" t="inlineStr">
        <is>
          <t>A12-L2</t>
        </is>
      </c>
      <c r="B15" t="inlineStr">
        <is>
          <t>Core 5 tenant door to stairs</t>
        </is>
      </c>
      <c r="C15" t="inlineStr">
        <is>
          <t>Tenant/Riser/AHU</t>
        </is>
      </c>
      <c r="D15" t="inlineStr">
        <is>
          <t>FD30</t>
        </is>
      </c>
      <c r="E15" t="inlineStr">
        <is>
          <t>Single Leaf</t>
        </is>
      </c>
      <c r="F15" t="inlineStr">
        <is>
          <t>Unknown</t>
        </is>
      </c>
      <c r="G15" t="inlineStr">
        <is>
          <t>Unknown</t>
        </is>
      </c>
      <c r="H15" t="inlineStr">
        <is>
          <t>Checked</t>
        </is>
      </c>
      <c r="I15" t="inlineStr">
        <is>
          <t>Overhead Closer</t>
        </is>
      </c>
      <c r="J15" t="inlineStr">
        <is>
          <t>Vision Panel</t>
        </is>
      </c>
      <c r="K15" t="inlineStr">
        <is>
          <t>ART02, ART10, ART19</t>
        </is>
      </c>
      <c r="L15" t="inlineStr">
        <is>
          <t>High</t>
        </is>
      </c>
      <c r="M15" t="inlineStr">
        <is>
          <t>06/09/2026</t>
        </is>
      </c>
      <c r="N15" t="inlineStr">
        <is>
          <t>YES</t>
        </is>
      </c>
      <c r="O15" t="inlineStr">
        <is>
          <t>NO</t>
        </is>
      </c>
      <c r="P15" t="inlineStr">
        <is>
          <t>B12</t>
        </is>
      </c>
      <c r="Q15" t="n">
        <v>1</v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YES</t>
        </is>
      </c>
      <c r="V15" t="inlineStr">
        <is>
          <t>ARTs: 02,10,19</t>
        </is>
      </c>
    </row>
    <row r="16">
      <c r="A16" t="inlineStr">
        <is>
          <t>A13-L2</t>
        </is>
      </c>
      <c r="B16" t="inlineStr">
        <is>
          <t>Core 4 tenant DB riser</t>
        </is>
      </c>
      <c r="C16" t="inlineStr">
        <is>
          <t>Tenant/Riser/AHU</t>
        </is>
      </c>
      <c r="D16" t="inlineStr">
        <is>
          <t>FD30</t>
        </is>
      </c>
      <c r="E16" t="inlineStr">
        <is>
          <t>Single Leaf</t>
        </is>
      </c>
      <c r="F16" t="inlineStr">
        <is>
          <t>Unknown</t>
        </is>
      </c>
      <c r="G16" t="inlineStr">
        <is>
          <t>Paint</t>
        </is>
      </c>
      <c r="H16" t="inlineStr">
        <is>
          <t>Checked</t>
        </is>
      </c>
      <c r="I16" t="inlineStr">
        <is>
          <t>Unknown</t>
        </is>
      </c>
      <c r="J16" t="inlineStr">
        <is>
          <t>None</t>
        </is>
      </c>
      <c r="K16" t="inlineStr">
        <is>
          <t>ART04, ART13, ART19</t>
        </is>
      </c>
      <c r="L16" t="inlineStr">
        <is>
          <t>High</t>
        </is>
      </c>
      <c r="M16" t="inlineStr">
        <is>
          <t>06/09/2026</t>
        </is>
      </c>
      <c r="N16" t="inlineStr">
        <is>
          <t>YES</t>
        </is>
      </c>
      <c r="O16" t="inlineStr">
        <is>
          <t>NO</t>
        </is>
      </c>
      <c r="P16" t="inlineStr">
        <is>
          <t>B10</t>
        </is>
      </c>
      <c r="Q16" t="n">
        <v>1</v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ARTs: 04,13,19</t>
        </is>
      </c>
    </row>
    <row r="17">
      <c r="A17" t="inlineStr">
        <is>
          <t>A14-L2</t>
        </is>
      </c>
      <c r="B17" t="inlineStr">
        <is>
          <t>Core 4 tenant door</t>
        </is>
      </c>
      <c r="C17" t="inlineStr">
        <is>
          <t>Tenant/Riser/AHU</t>
        </is>
      </c>
      <c r="D17" t="inlineStr">
        <is>
          <t>FD60</t>
        </is>
      </c>
      <c r="E17" t="inlineStr">
        <is>
          <t>Single Leaf</t>
        </is>
      </c>
      <c r="F17" t="inlineStr">
        <is>
          <t>Unknown</t>
        </is>
      </c>
      <c r="G17" t="inlineStr">
        <is>
          <t>Unknown</t>
        </is>
      </c>
      <c r="H17" t="inlineStr">
        <is>
          <t>Checked</t>
        </is>
      </c>
      <c r="I17" t="inlineStr">
        <is>
          <t>Overhead Closer</t>
        </is>
      </c>
      <c r="J17" t="inlineStr">
        <is>
          <t>Vision Panel</t>
        </is>
      </c>
      <c r="K17" t="inlineStr">
        <is>
          <t>ART02</t>
        </is>
      </c>
      <c r="L17" t="inlineStr">
        <is>
          <t>High</t>
        </is>
      </c>
      <c r="M17" t="inlineStr">
        <is>
          <t>06/09/2026</t>
        </is>
      </c>
      <c r="N17" t="inlineStr">
        <is>
          <t>YES</t>
        </is>
      </c>
      <c r="O17" t="inlineStr">
        <is>
          <t>NO</t>
        </is>
      </c>
      <c r="P17" t="inlineStr">
        <is>
          <t>B12</t>
        </is>
      </c>
      <c r="Q17" t="n">
        <v>1</v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YES</t>
        </is>
      </c>
      <c r="V17" t="inlineStr">
        <is>
          <t>ARTs: 02</t>
        </is>
      </c>
    </row>
    <row r="18">
      <c r="A18" t="inlineStr">
        <is>
          <t>A15-L2</t>
        </is>
      </c>
      <c r="B18" t="inlineStr">
        <is>
          <t>Core 2 orange hub room IDF</t>
        </is>
      </c>
      <c r="C18" t="inlineStr">
        <is>
          <t>Tenant/Riser/AHU</t>
        </is>
      </c>
      <c r="D18" t="inlineStr">
        <is>
          <t>FD30</t>
        </is>
      </c>
      <c r="E18" t="inlineStr">
        <is>
          <t>Single Leaf</t>
        </is>
      </c>
      <c r="F18" t="inlineStr">
        <is>
          <t>Unknown</t>
        </is>
      </c>
      <c r="G18" t="inlineStr">
        <is>
          <t>Paint</t>
        </is>
      </c>
      <c r="H18" t="inlineStr">
        <is>
          <t>Damaged</t>
        </is>
      </c>
      <c r="I18" t="inlineStr">
        <is>
          <t>Overhead Closer</t>
        </is>
      </c>
      <c r="J18" t="inlineStr">
        <is>
          <t>None</t>
        </is>
      </c>
      <c r="K18" t="inlineStr">
        <is>
          <t>ART04, ART10</t>
        </is>
      </c>
      <c r="L18" t="inlineStr">
        <is>
          <t>High</t>
        </is>
      </c>
      <c r="M18" t="inlineStr">
        <is>
          <t>06/09/2026</t>
        </is>
      </c>
      <c r="N18" t="inlineStr">
        <is>
          <t>YES</t>
        </is>
      </c>
      <c r="O18" t="inlineStr">
        <is>
          <t>NO</t>
        </is>
      </c>
      <c r="P18" t="inlineStr">
        <is>
          <t>B10</t>
        </is>
      </c>
      <c r="Q18" t="n">
        <v>1</v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ARTs: 04,10</t>
        </is>
      </c>
    </row>
    <row r="19">
      <c r="A19" t="inlineStr">
        <is>
          <t>A16-L2</t>
        </is>
      </c>
      <c r="B19" t="inlineStr">
        <is>
          <t>Core 2 tenant door</t>
        </is>
      </c>
      <c r="C19" t="inlineStr">
        <is>
          <t>Tenant/Riser/AHU</t>
        </is>
      </c>
      <c r="D19" t="inlineStr">
        <is>
          <t>FD60</t>
        </is>
      </c>
      <c r="E19" t="inlineStr">
        <is>
          <t>Single Leaf</t>
        </is>
      </c>
      <c r="F19" t="inlineStr">
        <is>
          <t>Unknown</t>
        </is>
      </c>
      <c r="G19" t="inlineStr">
        <is>
          <t>Unknown</t>
        </is>
      </c>
      <c r="H19" t="inlineStr">
        <is>
          <t>Damaged</t>
        </is>
      </c>
      <c r="I19" t="inlineStr">
        <is>
          <t>Overhead Closer</t>
        </is>
      </c>
      <c r="J19" t="inlineStr">
        <is>
          <t>Vision Panel</t>
        </is>
      </c>
      <c r="K19" t="inlineStr">
        <is>
          <t>ART02, ART10</t>
        </is>
      </c>
      <c r="L19" t="inlineStr">
        <is>
          <t>High</t>
        </is>
      </c>
      <c r="M19" t="inlineStr">
        <is>
          <t>06/09/2026</t>
        </is>
      </c>
      <c r="N19" t="inlineStr">
        <is>
          <t>YES</t>
        </is>
      </c>
      <c r="O19" t="inlineStr">
        <is>
          <t>NO</t>
        </is>
      </c>
      <c r="P19" t="inlineStr">
        <is>
          <t>B12</t>
        </is>
      </c>
      <c r="Q19" t="n">
        <v>1</v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YES</t>
        </is>
      </c>
      <c r="V19" t="inlineStr">
        <is>
          <t>ARTs: 02,10</t>
        </is>
      </c>
    </row>
    <row r="20">
      <c r="A20" t="inlineStr">
        <is>
          <t>A17-L2</t>
        </is>
      </c>
      <c r="B20" t="inlineStr">
        <is>
          <t>Core 2 metron panel cupboard</t>
        </is>
      </c>
      <c r="C20" t="inlineStr">
        <is>
          <t>Tenant/Riser/AHU</t>
        </is>
      </c>
      <c r="D20" t="inlineStr">
        <is>
          <t>FD30</t>
        </is>
      </c>
      <c r="E20" t="inlineStr">
        <is>
          <t>Single Leaf</t>
        </is>
      </c>
      <c r="F20" t="inlineStr">
        <is>
          <t>Unknown</t>
        </is>
      </c>
      <c r="G20" t="inlineStr">
        <is>
          <t>Paint</t>
        </is>
      </c>
      <c r="H20" t="inlineStr">
        <is>
          <t>Checked</t>
        </is>
      </c>
      <c r="I20" t="inlineStr">
        <is>
          <t>Unknown</t>
        </is>
      </c>
      <c r="J20" t="inlineStr">
        <is>
          <t>None</t>
        </is>
      </c>
      <c r="K20" t="inlineStr">
        <is>
          <t>ART10</t>
        </is>
      </c>
      <c r="L20" t="inlineStr">
        <is>
          <t>High</t>
        </is>
      </c>
      <c r="M20" t="inlineStr">
        <is>
          <t>06/09/2026</t>
        </is>
      </c>
      <c r="N20" t="inlineStr">
        <is>
          <t>YES</t>
        </is>
      </c>
      <c r="O20" t="inlineStr">
        <is>
          <t>NO</t>
        </is>
      </c>
      <c r="P20" t="inlineStr">
        <is>
          <t>B05</t>
        </is>
      </c>
      <c r="Q20" t="n">
        <v>1</v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ARTs: 10</t>
        </is>
      </c>
    </row>
    <row r="21">
      <c r="A21" t="inlineStr">
        <is>
          <t>A01-L3</t>
        </is>
      </c>
      <c r="B21" t="inlineStr">
        <is>
          <t>Core 1 CHW pump cupboard</t>
        </is>
      </c>
      <c r="C21" t="inlineStr">
        <is>
          <t>Tenant/Riser/AHU</t>
        </is>
      </c>
      <c r="D21" t="inlineStr">
        <is>
          <t>Nominal</t>
        </is>
      </c>
      <c r="E21" t="inlineStr">
        <is>
          <t>Double Leaf</t>
        </is>
      </c>
      <c r="F21" t="inlineStr">
        <is>
          <t>Unknown</t>
        </is>
      </c>
      <c r="G21" t="inlineStr">
        <is>
          <t>Paint</t>
        </is>
      </c>
      <c r="H21" t="inlineStr">
        <is>
          <t>Damaged</t>
        </is>
      </c>
      <c r="I21" t="inlineStr">
        <is>
          <t>Unknown</t>
        </is>
      </c>
      <c r="J21" t="inlineStr">
        <is>
          <t>None</t>
        </is>
      </c>
      <c r="K21" t="inlineStr">
        <is>
          <t>ART04, ART16, ART21, ART22</t>
        </is>
      </c>
      <c r="L21" t="inlineStr">
        <is>
          <t>High</t>
        </is>
      </c>
      <c r="M21" t="inlineStr">
        <is>
          <t>06/09/2026</t>
        </is>
      </c>
      <c r="N21" t="inlineStr">
        <is>
          <t>YES</t>
        </is>
      </c>
      <c r="O21" t="inlineStr">
        <is>
          <t>NO</t>
        </is>
      </c>
      <c r="P21" t="inlineStr">
        <is>
          <t>B10</t>
        </is>
      </c>
      <c r="Q21" t="n">
        <v>1</v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ARTs: 04,16,21,22</t>
        </is>
      </c>
    </row>
    <row r="22">
      <c r="A22" t="inlineStr">
        <is>
          <t>A02-L3</t>
        </is>
      </c>
      <c r="B22" t="inlineStr">
        <is>
          <t>Core 1 riser in store LHS</t>
        </is>
      </c>
      <c r="C22" t="inlineStr">
        <is>
          <t>Tenant/Riser/AHU</t>
        </is>
      </c>
      <c r="D22" t="inlineStr">
        <is>
          <t>FD30</t>
        </is>
      </c>
      <c r="E22" t="inlineStr">
        <is>
          <t>Single Leaf</t>
        </is>
      </c>
      <c r="F22" t="inlineStr">
        <is>
          <t>Unknown</t>
        </is>
      </c>
      <c r="G22" t="inlineStr">
        <is>
          <t>Paint</t>
        </is>
      </c>
      <c r="H22" t="inlineStr">
        <is>
          <t>Missing</t>
        </is>
      </c>
      <c r="I22" t="inlineStr">
        <is>
          <t>Unknown</t>
        </is>
      </c>
      <c r="J22" t="inlineStr">
        <is>
          <t>None</t>
        </is>
      </c>
      <c r="K22" t="inlineStr">
        <is>
          <t>ART11, ART13</t>
        </is>
      </c>
      <c r="L22" t="inlineStr">
        <is>
          <t>High</t>
        </is>
      </c>
      <c r="M22" t="inlineStr">
        <is>
          <t>06/09/2026</t>
        </is>
      </c>
      <c r="N22" t="inlineStr">
        <is>
          <t>YES</t>
        </is>
      </c>
      <c r="O22" t="inlineStr">
        <is>
          <t>NO</t>
        </is>
      </c>
      <c r="P22" t="inlineStr">
        <is>
          <t>B01</t>
        </is>
      </c>
      <c r="Q22" t="n">
        <v>1</v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ARTs: 11,13</t>
        </is>
      </c>
    </row>
    <row r="23">
      <c r="A23" t="inlineStr">
        <is>
          <t>A03-L3</t>
        </is>
      </c>
      <c r="B23" t="inlineStr">
        <is>
          <t>Core 1 riser in store RHS</t>
        </is>
      </c>
      <c r="C23" t="inlineStr">
        <is>
          <t>Tenant/Riser/AHU</t>
        </is>
      </c>
      <c r="D23" t="inlineStr">
        <is>
          <t>Nominal</t>
        </is>
      </c>
      <c r="E23" t="inlineStr">
        <is>
          <t>Single Leaf</t>
        </is>
      </c>
      <c r="F23" t="inlineStr">
        <is>
          <t>Unknown</t>
        </is>
      </c>
      <c r="G23" t="inlineStr">
        <is>
          <t>Paint</t>
        </is>
      </c>
      <c r="H23" t="inlineStr">
        <is>
          <t>Checked</t>
        </is>
      </c>
      <c r="I23" t="inlineStr">
        <is>
          <t>Unknown</t>
        </is>
      </c>
      <c r="J23" t="inlineStr">
        <is>
          <t>None</t>
        </is>
      </c>
      <c r="K23" t="inlineStr">
        <is>
          <t>ART04, ART16, ART21</t>
        </is>
      </c>
      <c r="L23" t="inlineStr">
        <is>
          <t>High</t>
        </is>
      </c>
      <c r="M23" t="inlineStr">
        <is>
          <t>06/09/2026</t>
        </is>
      </c>
      <c r="N23" t="inlineStr">
        <is>
          <t>YES</t>
        </is>
      </c>
      <c r="O23" t="inlineStr">
        <is>
          <t>NO</t>
        </is>
      </c>
      <c r="P23" t="inlineStr">
        <is>
          <t>B10</t>
        </is>
      </c>
      <c r="Q23" t="n">
        <v>1</v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ARTs: 04,16,21</t>
        </is>
      </c>
    </row>
    <row r="24">
      <c r="A24" s="87" t="inlineStr">
        <is>
          <t>A04-L3</t>
        </is>
      </c>
      <c r="B24" s="87" t="inlineStr">
        <is>
          <t>Core 1 tenant door</t>
        </is>
      </c>
      <c r="C24" s="87" t="inlineStr">
        <is>
          <t>Tenant/Riser/AHU</t>
        </is>
      </c>
      <c r="D24" s="87" t="inlineStr">
        <is>
          <t>Nominal</t>
        </is>
      </c>
      <c r="E24" s="87" t="inlineStr">
        <is>
          <t>Single Leaf</t>
        </is>
      </c>
      <c r="F24" s="87" t="inlineStr">
        <is>
          <t>Unknown</t>
        </is>
      </c>
      <c r="G24" s="87" t="inlineStr">
        <is>
          <t>Unknown</t>
        </is>
      </c>
      <c r="H24" s="87" t="inlineStr">
        <is>
          <t>Checked</t>
        </is>
      </c>
      <c r="I24" s="87" t="inlineStr">
        <is>
          <t>Overhead Closer</t>
        </is>
      </c>
      <c r="J24" s="87" t="inlineStr">
        <is>
          <t>Vision Panel</t>
        </is>
      </c>
      <c r="K24" s="87" t="inlineStr">
        <is>
          <t>Compliant</t>
        </is>
      </c>
      <c r="L24" s="87" t="inlineStr">
        <is>
          <t>N/A</t>
        </is>
      </c>
      <c r="M24" s="87" t="inlineStr">
        <is>
          <t>06/09/2026</t>
        </is>
      </c>
      <c r="N24" s="87" t="inlineStr">
        <is>
          <t>NO</t>
        </is>
      </c>
      <c r="O24" s="87" t="inlineStr">
        <is>
          <t>NO</t>
        </is>
      </c>
      <c r="P24" s="87" t="inlineStr"/>
      <c r="Q24" s="87" t="n">
        <v>1</v>
      </c>
      <c r="R24" s="87" t="inlineStr">
        <is>
          <t>NO</t>
        </is>
      </c>
      <c r="S24" s="87" t="inlineStr">
        <is>
          <t>NO</t>
        </is>
      </c>
      <c r="T24" s="87" t="inlineStr">
        <is>
          <t>NO</t>
        </is>
      </c>
      <c r="U24" s="87" t="inlineStr">
        <is>
          <t>YES</t>
        </is>
      </c>
      <c r="V24" s="87" t="inlineStr">
        <is>
          <t>No actions required</t>
        </is>
      </c>
    </row>
    <row r="25">
      <c r="A25" t="inlineStr">
        <is>
          <t>A05-L3</t>
        </is>
      </c>
      <c r="B25" t="inlineStr">
        <is>
          <t>Core 1 door to north area</t>
        </is>
      </c>
      <c r="C25" t="inlineStr">
        <is>
          <t>Tenant/Riser/AHU</t>
        </is>
      </c>
      <c r="D25" t="inlineStr">
        <is>
          <t>FD60</t>
        </is>
      </c>
      <c r="E25" t="inlineStr">
        <is>
          <t>Double Leaf</t>
        </is>
      </c>
      <c r="F25" t="inlineStr">
        <is>
          <t>Unknown</t>
        </is>
      </c>
      <c r="G25" t="inlineStr">
        <is>
          <t>Unknown</t>
        </is>
      </c>
      <c r="H25" t="inlineStr">
        <is>
          <t>Checked</t>
        </is>
      </c>
      <c r="I25" t="inlineStr">
        <is>
          <t>Unknown</t>
        </is>
      </c>
      <c r="J25" t="inlineStr">
        <is>
          <t>Vision Panel</t>
        </is>
      </c>
      <c r="K25" t="inlineStr">
        <is>
          <t>ART02, ART04, ART08, ART19, ART21</t>
        </is>
      </c>
      <c r="L25" t="inlineStr">
        <is>
          <t>High</t>
        </is>
      </c>
      <c r="M25" t="inlineStr">
        <is>
          <t>06/09/2026</t>
        </is>
      </c>
      <c r="N25" t="inlineStr">
        <is>
          <t>YES</t>
        </is>
      </c>
      <c r="O25" t="inlineStr">
        <is>
          <t>NO</t>
        </is>
      </c>
      <c r="P25" t="inlineStr">
        <is>
          <t>B12</t>
        </is>
      </c>
      <c r="Q25" t="n">
        <v>1</v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YES</t>
        </is>
      </c>
      <c r="V25" t="inlineStr">
        <is>
          <t>ARTs: 02,04,08,19,21</t>
        </is>
      </c>
    </row>
    <row r="26">
      <c r="A26" t="inlineStr">
        <is>
          <t>A06-L3</t>
        </is>
      </c>
      <c r="B26" t="inlineStr">
        <is>
          <t>Core 1 door to east area</t>
        </is>
      </c>
      <c r="C26" t="inlineStr">
        <is>
          <t>Tenant/Riser/AHU</t>
        </is>
      </c>
      <c r="D26" t="inlineStr">
        <is>
          <t>FD60</t>
        </is>
      </c>
      <c r="E26" t="inlineStr">
        <is>
          <t>Double Leaf</t>
        </is>
      </c>
      <c r="F26" t="inlineStr">
        <is>
          <t>Unknown</t>
        </is>
      </c>
      <c r="G26" t="inlineStr">
        <is>
          <t>Unknown</t>
        </is>
      </c>
      <c r="H26" t="inlineStr">
        <is>
          <t>Checked</t>
        </is>
      </c>
      <c r="I26" t="inlineStr">
        <is>
          <t>Unknown</t>
        </is>
      </c>
      <c r="J26" t="inlineStr">
        <is>
          <t>Vision Panel</t>
        </is>
      </c>
      <c r="K26" t="inlineStr">
        <is>
          <t>ART01, ART04, ART19, ART21</t>
        </is>
      </c>
      <c r="L26" t="inlineStr">
        <is>
          <t>High</t>
        </is>
      </c>
      <c r="M26" t="inlineStr">
        <is>
          <t>06/09/2026</t>
        </is>
      </c>
      <c r="N26" t="inlineStr">
        <is>
          <t>YES</t>
        </is>
      </c>
      <c r="O26" t="inlineStr">
        <is>
          <t>NO</t>
        </is>
      </c>
      <c r="P26" t="inlineStr">
        <is>
          <t>B11</t>
        </is>
      </c>
      <c r="Q26" t="n">
        <v>1</v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YES</t>
        </is>
      </c>
      <c r="V26" t="inlineStr">
        <is>
          <t>ARTs: 01,04,19,21</t>
        </is>
      </c>
    </row>
    <row r="27">
      <c r="A27" s="87" t="inlineStr">
        <is>
          <t>A07-L3</t>
        </is>
      </c>
      <c r="B27" s="87" t="inlineStr">
        <is>
          <t>Room 03-Y riser</t>
        </is>
      </c>
      <c r="C27" s="87" t="inlineStr">
        <is>
          <t>Tenant/Riser/AHU</t>
        </is>
      </c>
      <c r="D27" s="87" t="inlineStr">
        <is>
          <t>FD30</t>
        </is>
      </c>
      <c r="E27" s="87" t="inlineStr">
        <is>
          <t>Single Leaf</t>
        </is>
      </c>
      <c r="F27" s="87" t="inlineStr">
        <is>
          <t>Unknown</t>
        </is>
      </c>
      <c r="G27" s="87" t="inlineStr">
        <is>
          <t>Paint</t>
        </is>
      </c>
      <c r="H27" s="87" t="inlineStr">
        <is>
          <t>Checked</t>
        </is>
      </c>
      <c r="I27" s="87" t="inlineStr">
        <is>
          <t>Unknown</t>
        </is>
      </c>
      <c r="J27" s="87" t="inlineStr">
        <is>
          <t>None</t>
        </is>
      </c>
      <c r="K27" s="87" t="inlineStr">
        <is>
          <t>Compliant</t>
        </is>
      </c>
      <c r="L27" s="87" t="inlineStr">
        <is>
          <t>N/A</t>
        </is>
      </c>
      <c r="M27" s="87" t="inlineStr">
        <is>
          <t>06/09/2026</t>
        </is>
      </c>
      <c r="N27" s="87" t="inlineStr">
        <is>
          <t>NO</t>
        </is>
      </c>
      <c r="O27" s="87" t="inlineStr">
        <is>
          <t>NO</t>
        </is>
      </c>
      <c r="P27" s="87" t="inlineStr"/>
      <c r="Q27" s="87" t="n">
        <v>1</v>
      </c>
      <c r="R27" s="87" t="inlineStr">
        <is>
          <t>NO</t>
        </is>
      </c>
      <c r="S27" s="87" t="inlineStr">
        <is>
          <t>NO</t>
        </is>
      </c>
      <c r="T27" s="87" t="inlineStr">
        <is>
          <t>NO</t>
        </is>
      </c>
      <c r="U27" s="87" t="inlineStr">
        <is>
          <t>NO</t>
        </is>
      </c>
      <c r="V27" s="87" t="inlineStr">
        <is>
          <t>No actions required</t>
        </is>
      </c>
    </row>
    <row r="28">
      <c r="A28" s="88" t="inlineStr">
        <is>
          <t>A08-L3</t>
        </is>
      </c>
      <c r="B28" s="88" t="inlineStr">
        <is>
          <t>Core 3 tenant CHW pump riser</t>
        </is>
      </c>
      <c r="C28" s="88" t="inlineStr">
        <is>
          <t>Tenant/Riser/AHU</t>
        </is>
      </c>
      <c r="D28" s="88" t="inlineStr">
        <is>
          <t>FD30</t>
        </is>
      </c>
      <c r="E28" s="88" t="inlineStr">
        <is>
          <t>Single Leaf</t>
        </is>
      </c>
      <c r="F28" s="88" t="inlineStr">
        <is>
          <t>Unknown</t>
        </is>
      </c>
      <c r="G28" s="88" t="inlineStr">
        <is>
          <t>Paint</t>
        </is>
      </c>
      <c r="H28" s="88" t="inlineStr">
        <is>
          <t>Checked</t>
        </is>
      </c>
      <c r="I28" s="88" t="inlineStr">
        <is>
          <t>Unknown</t>
        </is>
      </c>
      <c r="J28" s="88" t="inlineStr">
        <is>
          <t>None</t>
        </is>
      </c>
      <c r="K28" s="88" t="inlineStr">
        <is>
          <t>ART13</t>
        </is>
      </c>
      <c r="L28" s="88" t="inlineStr">
        <is>
          <t>Moderate</t>
        </is>
      </c>
      <c r="M28" s="88" t="inlineStr">
        <is>
          <t>06/09/2026</t>
        </is>
      </c>
      <c r="N28" s="88" t="inlineStr">
        <is>
          <t>YES</t>
        </is>
      </c>
      <c r="O28" s="88" t="inlineStr">
        <is>
          <t>NO</t>
        </is>
      </c>
      <c r="P28" s="88" t="inlineStr">
        <is>
          <t>B04</t>
        </is>
      </c>
      <c r="Q28" s="88" t="n">
        <v>1</v>
      </c>
      <c r="R28" s="88" t="inlineStr">
        <is>
          <t>NO</t>
        </is>
      </c>
      <c r="S28" s="88" t="inlineStr">
        <is>
          <t>NO</t>
        </is>
      </c>
      <c r="T28" s="88" t="inlineStr">
        <is>
          <t>NO</t>
        </is>
      </c>
      <c r="U28" s="88" t="inlineStr">
        <is>
          <t>NO</t>
        </is>
      </c>
      <c r="V28" s="88" t="inlineStr">
        <is>
          <t>ARTs: 13</t>
        </is>
      </c>
    </row>
    <row r="29">
      <c r="A29" s="87" t="inlineStr">
        <is>
          <t>A09-L3</t>
        </is>
      </c>
      <c r="B29" s="87" t="inlineStr">
        <is>
          <t>Core 3 tenant DB riser</t>
        </is>
      </c>
      <c r="C29" s="87" t="inlineStr">
        <is>
          <t>Tenant/Riser/AHU</t>
        </is>
      </c>
      <c r="D29" s="87" t="inlineStr">
        <is>
          <t>FD30</t>
        </is>
      </c>
      <c r="E29" s="87" t="inlineStr">
        <is>
          <t>Single Leaf</t>
        </is>
      </c>
      <c r="F29" s="87" t="inlineStr">
        <is>
          <t>Unknown</t>
        </is>
      </c>
      <c r="G29" s="87" t="inlineStr">
        <is>
          <t>Paint</t>
        </is>
      </c>
      <c r="H29" s="87" t="inlineStr">
        <is>
          <t>Checked</t>
        </is>
      </c>
      <c r="I29" s="87" t="inlineStr">
        <is>
          <t>Unknown</t>
        </is>
      </c>
      <c r="J29" s="87" t="inlineStr">
        <is>
          <t>None</t>
        </is>
      </c>
      <c r="K29" s="87" t="inlineStr">
        <is>
          <t>Compliant</t>
        </is>
      </c>
      <c r="L29" s="87" t="inlineStr">
        <is>
          <t>N/A</t>
        </is>
      </c>
      <c r="M29" s="87" t="inlineStr">
        <is>
          <t>06/09/2026</t>
        </is>
      </c>
      <c r="N29" s="87" t="inlineStr">
        <is>
          <t>NO</t>
        </is>
      </c>
      <c r="O29" s="87" t="inlineStr">
        <is>
          <t>NO</t>
        </is>
      </c>
      <c r="P29" s="87" t="inlineStr"/>
      <c r="Q29" s="87" t="n">
        <v>1</v>
      </c>
      <c r="R29" s="87" t="inlineStr">
        <is>
          <t>NO</t>
        </is>
      </c>
      <c r="S29" s="87" t="inlineStr">
        <is>
          <t>NO</t>
        </is>
      </c>
      <c r="T29" s="87" t="inlineStr">
        <is>
          <t>NO</t>
        </is>
      </c>
      <c r="U29" s="87" t="inlineStr">
        <is>
          <t>NO</t>
        </is>
      </c>
      <c r="V29" s="87" t="inlineStr">
        <is>
          <t>No actions required</t>
        </is>
      </c>
    </row>
    <row r="30">
      <c r="A30" s="87" t="inlineStr">
        <is>
          <t>A10-L3</t>
        </is>
      </c>
      <c r="B30" s="87" t="inlineStr">
        <is>
          <t>Core 3 tenant door</t>
        </is>
      </c>
      <c r="C30" s="87" t="inlineStr">
        <is>
          <t>Tenant/Riser/AHU</t>
        </is>
      </c>
      <c r="D30" s="87" t="inlineStr">
        <is>
          <t>FD30</t>
        </is>
      </c>
      <c r="E30" s="87" t="inlineStr">
        <is>
          <t>Single Leaf</t>
        </is>
      </c>
      <c r="F30" s="87" t="inlineStr">
        <is>
          <t>Unknown</t>
        </is>
      </c>
      <c r="G30" s="87" t="inlineStr">
        <is>
          <t>Unknown</t>
        </is>
      </c>
      <c r="H30" s="87" t="inlineStr">
        <is>
          <t>Checked</t>
        </is>
      </c>
      <c r="I30" s="87" t="inlineStr">
        <is>
          <t>Overhead Closer</t>
        </is>
      </c>
      <c r="J30" s="87" t="inlineStr">
        <is>
          <t>Vision Panel</t>
        </is>
      </c>
      <c r="K30" s="87" t="inlineStr">
        <is>
          <t>Compliant</t>
        </is>
      </c>
      <c r="L30" s="87" t="inlineStr">
        <is>
          <t>N/A</t>
        </is>
      </c>
      <c r="M30" s="87" t="inlineStr">
        <is>
          <t>06/09/2026</t>
        </is>
      </c>
      <c r="N30" s="87" t="inlineStr">
        <is>
          <t>NO</t>
        </is>
      </c>
      <c r="O30" s="87" t="inlineStr">
        <is>
          <t>NO</t>
        </is>
      </c>
      <c r="P30" s="87" t="inlineStr"/>
      <c r="Q30" s="87" t="n">
        <v>1</v>
      </c>
      <c r="R30" s="87" t="inlineStr">
        <is>
          <t>NO</t>
        </is>
      </c>
      <c r="S30" s="87" t="inlineStr">
        <is>
          <t>NO</t>
        </is>
      </c>
      <c r="T30" s="87" t="inlineStr">
        <is>
          <t>NO</t>
        </is>
      </c>
      <c r="U30" s="87" t="inlineStr">
        <is>
          <t>YES</t>
        </is>
      </c>
      <c r="V30" s="87" t="inlineStr">
        <is>
          <t>No actions required</t>
        </is>
      </c>
    </row>
    <row r="31">
      <c r="A31" t="inlineStr">
        <is>
          <t>A11-L3</t>
        </is>
      </c>
      <c r="B31" t="inlineStr">
        <is>
          <t>Comms room south east DB riser</t>
        </is>
      </c>
      <c r="C31" t="inlineStr">
        <is>
          <t>Tenant/Riser/AHU</t>
        </is>
      </c>
      <c r="D31" t="inlineStr">
        <is>
          <t>FD30</t>
        </is>
      </c>
      <c r="E31" t="inlineStr">
        <is>
          <t>Single Leaf</t>
        </is>
      </c>
      <c r="F31" t="inlineStr">
        <is>
          <t>Unknown</t>
        </is>
      </c>
      <c r="G31" t="inlineStr">
        <is>
          <t>Paint</t>
        </is>
      </c>
      <c r="H31" t="inlineStr">
        <is>
          <t>Damaged</t>
        </is>
      </c>
      <c r="I31" t="inlineStr">
        <is>
          <t>Unknown</t>
        </is>
      </c>
      <c r="J31" t="inlineStr">
        <is>
          <t>None</t>
        </is>
      </c>
      <c r="K31" t="inlineStr">
        <is>
          <t>ART04, ART16, ART19, ART21</t>
        </is>
      </c>
      <c r="L31" t="inlineStr">
        <is>
          <t>High</t>
        </is>
      </c>
      <c r="M31" t="inlineStr">
        <is>
          <t>06/09/2026</t>
        </is>
      </c>
      <c r="N31" t="inlineStr">
        <is>
          <t>YES</t>
        </is>
      </c>
      <c r="O31" t="inlineStr">
        <is>
          <t>NO</t>
        </is>
      </c>
      <c r="P31" t="inlineStr">
        <is>
          <t>B10</t>
        </is>
      </c>
      <c r="Q31" t="n">
        <v>1</v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ARTs: 04,16,19,21</t>
        </is>
      </c>
    </row>
    <row r="32">
      <c r="A32" s="89" t="inlineStr">
        <is>
          <t>A12-L3</t>
        </is>
      </c>
      <c r="B32" s="89" t="inlineStr">
        <is>
          <t>Core 5 tenant door to WCs</t>
        </is>
      </c>
      <c r="C32" s="89" t="inlineStr">
        <is>
          <t>Tenant/Riser/AHU</t>
        </is>
      </c>
      <c r="D32" s="89" t="inlineStr">
        <is>
          <t>FD60</t>
        </is>
      </c>
      <c r="E32" s="89" t="inlineStr">
        <is>
          <t>Single Leaf</t>
        </is>
      </c>
      <c r="F32" s="89" t="inlineStr">
        <is>
          <t>2650x950x70mm</t>
        </is>
      </c>
      <c r="G32" s="89" t="inlineStr">
        <is>
          <t>Unknown</t>
        </is>
      </c>
      <c r="H32" s="89" t="inlineStr">
        <is>
          <t>Missing</t>
        </is>
      </c>
      <c r="I32" s="89" t="inlineStr">
        <is>
          <t>Damaged closer</t>
        </is>
      </c>
      <c r="J32" s="89" t="inlineStr">
        <is>
          <t>None</t>
        </is>
      </c>
      <c r="K32" s="89" t="inlineStr">
        <is>
          <t>ART18</t>
        </is>
      </c>
      <c r="L32" s="89" t="inlineStr">
        <is>
          <t>Replace</t>
        </is>
      </c>
      <c r="M32" s="89" t="inlineStr">
        <is>
          <t>06/09/2026</t>
        </is>
      </c>
      <c r="N32" s="89" t="inlineStr">
        <is>
          <t>NO</t>
        </is>
      </c>
      <c r="O32" s="89" t="inlineStr">
        <is>
          <t>YES</t>
        </is>
      </c>
      <c r="P32" s="89" t="inlineStr">
        <is>
          <t>A09</t>
        </is>
      </c>
      <c r="Q32" s="89" t="n">
        <v>1</v>
      </c>
      <c r="R32" s="89" t="inlineStr">
        <is>
          <t>NO</t>
        </is>
      </c>
      <c r="S32" s="89" t="inlineStr">
        <is>
          <t>NO</t>
        </is>
      </c>
      <c r="T32" s="89" t="inlineStr">
        <is>
          <t>NO</t>
        </is>
      </c>
      <c r="U32" s="89" t="inlineStr">
        <is>
          <t>NO</t>
        </is>
      </c>
      <c r="V32" s="89" t="inlineStr">
        <is>
          <t>ARTs: 18 | REPLACE — dims: 2650x950x70mm</t>
        </is>
      </c>
    </row>
    <row r="33">
      <c r="A33" t="inlineStr">
        <is>
          <t>A13-L3</t>
        </is>
      </c>
      <c r="B33" t="inlineStr">
        <is>
          <t>Core 5 tenant door to stairs</t>
        </is>
      </c>
      <c r="C33" t="inlineStr">
        <is>
          <t>Tenant/Riser/AHU</t>
        </is>
      </c>
      <c r="D33" t="inlineStr">
        <is>
          <t>FD30</t>
        </is>
      </c>
      <c r="E33" t="inlineStr">
        <is>
          <t>Single Leaf</t>
        </is>
      </c>
      <c r="F33" t="inlineStr">
        <is>
          <t>Unknown</t>
        </is>
      </c>
      <c r="G33" t="inlineStr">
        <is>
          <t>Unknown</t>
        </is>
      </c>
      <c r="H33" t="inlineStr">
        <is>
          <t>Checked</t>
        </is>
      </c>
      <c r="I33" t="inlineStr">
        <is>
          <t>Overhead Closer</t>
        </is>
      </c>
      <c r="J33" t="inlineStr">
        <is>
          <t>None</t>
        </is>
      </c>
      <c r="K33" t="inlineStr">
        <is>
          <t>ART10</t>
        </is>
      </c>
      <c r="L33" t="inlineStr">
        <is>
          <t>High</t>
        </is>
      </c>
      <c r="M33" t="inlineStr">
        <is>
          <t>06/09/2026</t>
        </is>
      </c>
      <c r="N33" t="inlineStr">
        <is>
          <t>YES</t>
        </is>
      </c>
      <c r="O33" t="inlineStr">
        <is>
          <t>NO</t>
        </is>
      </c>
      <c r="P33" t="inlineStr">
        <is>
          <t>B05</t>
        </is>
      </c>
      <c r="Q33" t="n">
        <v>1</v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ARTs: 10</t>
        </is>
      </c>
    </row>
    <row r="34">
      <c r="A34" s="89" t="inlineStr">
        <is>
          <t>A14-L3</t>
        </is>
      </c>
      <c r="B34" s="89" t="inlineStr">
        <is>
          <t>Core 4 tenant DB riser</t>
        </is>
      </c>
      <c r="C34" s="89" t="inlineStr">
        <is>
          <t>Tenant/Riser/AHU</t>
        </is>
      </c>
      <c r="D34" s="89" t="inlineStr">
        <is>
          <t>FD30</t>
        </is>
      </c>
      <c r="E34" s="89" t="inlineStr">
        <is>
          <t>Double Leaf</t>
        </is>
      </c>
      <c r="F34" s="89" t="inlineStr">
        <is>
          <t>2650x1810x135mm</t>
        </is>
      </c>
      <c r="G34" s="89" t="inlineStr">
        <is>
          <t>Paint</t>
        </is>
      </c>
      <c r="H34" s="89" t="inlineStr">
        <is>
          <t>Unknown</t>
        </is>
      </c>
      <c r="I34" s="89" t="inlineStr">
        <is>
          <t>Unknown</t>
        </is>
      </c>
      <c r="J34" s="89" t="inlineStr">
        <is>
          <t>None</t>
        </is>
      </c>
      <c r="K34" s="89" t="inlineStr">
        <is>
          <t>ART18</t>
        </is>
      </c>
      <c r="L34" s="89" t="inlineStr">
        <is>
          <t>Replace</t>
        </is>
      </c>
      <c r="M34" s="89" t="inlineStr">
        <is>
          <t>06/09/2026</t>
        </is>
      </c>
      <c r="N34" s="89" t="inlineStr">
        <is>
          <t>NO</t>
        </is>
      </c>
      <c r="O34" s="89" t="inlineStr">
        <is>
          <t>YES</t>
        </is>
      </c>
      <c r="P34" s="89" t="inlineStr">
        <is>
          <t>A08</t>
        </is>
      </c>
      <c r="Q34" s="89" t="n">
        <v>1</v>
      </c>
      <c r="R34" s="89" t="inlineStr">
        <is>
          <t>NO</t>
        </is>
      </c>
      <c r="S34" s="89" t="inlineStr">
        <is>
          <t>NO</t>
        </is>
      </c>
      <c r="T34" s="89" t="inlineStr">
        <is>
          <t>NO</t>
        </is>
      </c>
      <c r="U34" s="89" t="inlineStr">
        <is>
          <t>NO</t>
        </is>
      </c>
      <c r="V34" s="89" t="inlineStr">
        <is>
          <t>ARTs: 18 | REPLACE — dims: 2650x1810x135mm</t>
        </is>
      </c>
    </row>
    <row r="35">
      <c r="A35" t="inlineStr">
        <is>
          <t>A15-L3</t>
        </is>
      </c>
      <c r="B35" t="inlineStr">
        <is>
          <t>Core 4 tenant door</t>
        </is>
      </c>
      <c r="C35" t="inlineStr">
        <is>
          <t>Tenant/Riser/AHU</t>
        </is>
      </c>
      <c r="D35" t="inlineStr">
        <is>
          <t>FD60</t>
        </is>
      </c>
      <c r="E35" t="inlineStr">
        <is>
          <t>Single Leaf</t>
        </is>
      </c>
      <c r="F35" t="inlineStr">
        <is>
          <t>Unknown</t>
        </is>
      </c>
      <c r="G35" t="inlineStr">
        <is>
          <t>Unknown</t>
        </is>
      </c>
      <c r="H35" t="inlineStr">
        <is>
          <t>Checked</t>
        </is>
      </c>
      <c r="I35" t="inlineStr">
        <is>
          <t>Overhead Closer</t>
        </is>
      </c>
      <c r="J35" t="inlineStr">
        <is>
          <t>Vision Panel</t>
        </is>
      </c>
      <c r="K35" t="inlineStr">
        <is>
          <t>ART04</t>
        </is>
      </c>
      <c r="L35" t="inlineStr">
        <is>
          <t>High</t>
        </is>
      </c>
      <c r="M35" t="inlineStr">
        <is>
          <t>06/09/2026</t>
        </is>
      </c>
      <c r="N35" t="inlineStr">
        <is>
          <t>YES</t>
        </is>
      </c>
      <c r="O35" t="inlineStr">
        <is>
          <t>NO</t>
        </is>
      </c>
      <c r="P35" t="inlineStr">
        <is>
          <t>B10</t>
        </is>
      </c>
      <c r="Q35" t="n">
        <v>1</v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YES</t>
        </is>
      </c>
      <c r="V35" t="inlineStr">
        <is>
          <t>ARTs: 04</t>
        </is>
      </c>
    </row>
    <row r="36">
      <c r="A36" t="inlineStr">
        <is>
          <t>A16-L3</t>
        </is>
      </c>
      <c r="B36" t="inlineStr">
        <is>
          <t>Core 2 comms room 1 door</t>
        </is>
      </c>
      <c r="C36" t="inlineStr">
        <is>
          <t>Tenant/Riser/AHU</t>
        </is>
      </c>
      <c r="D36" t="inlineStr">
        <is>
          <t>FD30</t>
        </is>
      </c>
      <c r="E36" t="inlineStr">
        <is>
          <t>Single Leaf</t>
        </is>
      </c>
      <c r="F36" t="inlineStr">
        <is>
          <t>Unknown</t>
        </is>
      </c>
      <c r="G36" t="inlineStr">
        <is>
          <t>Paint</t>
        </is>
      </c>
      <c r="H36" t="inlineStr">
        <is>
          <t>Checked</t>
        </is>
      </c>
      <c r="I36" t="inlineStr">
        <is>
          <t>Overhead Closer</t>
        </is>
      </c>
      <c r="J36" t="inlineStr">
        <is>
          <t>None</t>
        </is>
      </c>
      <c r="K36" t="inlineStr">
        <is>
          <t>ART04</t>
        </is>
      </c>
      <c r="L36" t="inlineStr">
        <is>
          <t>High</t>
        </is>
      </c>
      <c r="M36" t="inlineStr">
        <is>
          <t>06/09/2026</t>
        </is>
      </c>
      <c r="N36" t="inlineStr">
        <is>
          <t>YES</t>
        </is>
      </c>
      <c r="O36" t="inlineStr">
        <is>
          <t>NO</t>
        </is>
      </c>
      <c r="P36" t="inlineStr">
        <is>
          <t>B10</t>
        </is>
      </c>
      <c r="Q36" t="n">
        <v>1</v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ARTs: 04</t>
        </is>
      </c>
    </row>
    <row r="37">
      <c r="A37" t="inlineStr">
        <is>
          <t>A17-L3</t>
        </is>
      </c>
      <c r="B37" t="inlineStr">
        <is>
          <t>AHU 3 inner door</t>
        </is>
      </c>
      <c r="C37" t="inlineStr">
        <is>
          <t>Tenant/Riser/AHU</t>
        </is>
      </c>
      <c r="D37" t="inlineStr">
        <is>
          <t>FD60</t>
        </is>
      </c>
      <c r="E37" t="inlineStr">
        <is>
          <t>Single Leaf</t>
        </is>
      </c>
      <c r="F37" t="inlineStr">
        <is>
          <t>Unknown</t>
        </is>
      </c>
      <c r="G37" t="inlineStr">
        <is>
          <t>Paint</t>
        </is>
      </c>
      <c r="H37" t="inlineStr">
        <is>
          <t>Damaged</t>
        </is>
      </c>
      <c r="I37" t="inlineStr">
        <is>
          <t>Unknown</t>
        </is>
      </c>
      <c r="J37" t="inlineStr">
        <is>
          <t>None</t>
        </is>
      </c>
      <c r="K37" t="inlineStr">
        <is>
          <t>ART02, ART04, ART16</t>
        </is>
      </c>
      <c r="L37" t="inlineStr">
        <is>
          <t>High</t>
        </is>
      </c>
      <c r="M37" t="inlineStr">
        <is>
          <t>06/09/2026</t>
        </is>
      </c>
      <c r="N37" t="inlineStr">
        <is>
          <t>YES</t>
        </is>
      </c>
      <c r="O37" t="inlineStr">
        <is>
          <t>NO</t>
        </is>
      </c>
      <c r="P37" t="inlineStr">
        <is>
          <t>B12</t>
        </is>
      </c>
      <c r="Q37" t="n">
        <v>1</v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ARTs: 02,04,16</t>
        </is>
      </c>
    </row>
    <row r="38">
      <c r="A38" s="88" t="inlineStr">
        <is>
          <t>A18-L3</t>
        </is>
      </c>
      <c r="B38" s="88" t="inlineStr">
        <is>
          <t>AHU 3 outer door</t>
        </is>
      </c>
      <c r="C38" s="88" t="inlineStr">
        <is>
          <t>Tenant/Riser/AHU</t>
        </is>
      </c>
      <c r="D38" s="88" t="inlineStr">
        <is>
          <t>FD60</t>
        </is>
      </c>
      <c r="E38" s="88" t="inlineStr">
        <is>
          <t>Single Leaf</t>
        </is>
      </c>
      <c r="F38" s="88" t="inlineStr">
        <is>
          <t>Unknown</t>
        </is>
      </c>
      <c r="G38" s="88" t="inlineStr">
        <is>
          <t>Paint</t>
        </is>
      </c>
      <c r="H38" s="88" t="inlineStr">
        <is>
          <t>Checked</t>
        </is>
      </c>
      <c r="I38" s="88" t="inlineStr">
        <is>
          <t>Unknown</t>
        </is>
      </c>
      <c r="J38" s="88" t="inlineStr">
        <is>
          <t>None</t>
        </is>
      </c>
      <c r="K38" s="88" t="inlineStr">
        <is>
          <t>ART13</t>
        </is>
      </c>
      <c r="L38" s="88" t="inlineStr">
        <is>
          <t>Moderate</t>
        </is>
      </c>
      <c r="M38" s="88" t="inlineStr">
        <is>
          <t>06/09/2026</t>
        </is>
      </c>
      <c r="N38" s="88" t="inlineStr">
        <is>
          <t>YES</t>
        </is>
      </c>
      <c r="O38" s="88" t="inlineStr">
        <is>
          <t>NO</t>
        </is>
      </c>
      <c r="P38" s="88" t="inlineStr">
        <is>
          <t>B04</t>
        </is>
      </c>
      <c r="Q38" s="88" t="n">
        <v>1</v>
      </c>
      <c r="R38" s="88" t="inlineStr">
        <is>
          <t>NO</t>
        </is>
      </c>
      <c r="S38" s="88" t="inlineStr">
        <is>
          <t>NO</t>
        </is>
      </c>
      <c r="T38" s="88" t="inlineStr">
        <is>
          <t>NO</t>
        </is>
      </c>
      <c r="U38" s="88" t="inlineStr">
        <is>
          <t>NO</t>
        </is>
      </c>
      <c r="V38" s="88" t="inlineStr">
        <is>
          <t>ARTs: 13</t>
        </is>
      </c>
    </row>
    <row r="39">
      <c r="A39" s="87" t="inlineStr">
        <is>
          <t>A19-L3</t>
        </is>
      </c>
      <c r="B39" s="87" t="inlineStr">
        <is>
          <t>Core 2 tenant door</t>
        </is>
      </c>
      <c r="C39" s="87" t="inlineStr">
        <is>
          <t>Tenant/Riser/AHU</t>
        </is>
      </c>
      <c r="D39" s="87" t="inlineStr">
        <is>
          <t>FD60</t>
        </is>
      </c>
      <c r="E39" s="87" t="inlineStr">
        <is>
          <t>Single Leaf</t>
        </is>
      </c>
      <c r="F39" s="87" t="inlineStr">
        <is>
          <t>Unknown</t>
        </is>
      </c>
      <c r="G39" s="87" t="inlineStr">
        <is>
          <t>Unknown</t>
        </is>
      </c>
      <c r="H39" s="87" t="inlineStr">
        <is>
          <t>Checked</t>
        </is>
      </c>
      <c r="I39" s="87" t="inlineStr">
        <is>
          <t>Overhead Closer</t>
        </is>
      </c>
      <c r="J39" s="87" t="inlineStr">
        <is>
          <t>Vision Panel</t>
        </is>
      </c>
      <c r="K39" s="87" t="inlineStr">
        <is>
          <t>Compliant</t>
        </is>
      </c>
      <c r="L39" s="87" t="inlineStr">
        <is>
          <t>N/A</t>
        </is>
      </c>
      <c r="M39" s="87" t="inlineStr">
        <is>
          <t>06/09/2026</t>
        </is>
      </c>
      <c r="N39" s="87" t="inlineStr">
        <is>
          <t>NO</t>
        </is>
      </c>
      <c r="O39" s="87" t="inlineStr">
        <is>
          <t>NO</t>
        </is>
      </c>
      <c r="P39" s="87" t="inlineStr"/>
      <c r="Q39" s="87" t="n">
        <v>1</v>
      </c>
      <c r="R39" s="87" t="inlineStr">
        <is>
          <t>NO</t>
        </is>
      </c>
      <c r="S39" s="87" t="inlineStr">
        <is>
          <t>NO</t>
        </is>
      </c>
      <c r="T39" s="87" t="inlineStr">
        <is>
          <t>NO</t>
        </is>
      </c>
      <c r="U39" s="87" t="inlineStr">
        <is>
          <t>YES</t>
        </is>
      </c>
      <c r="V39" s="87" t="inlineStr">
        <is>
          <t>No actions required</t>
        </is>
      </c>
    </row>
    <row r="40">
      <c r="A40" t="inlineStr">
        <is>
          <t>A20-L3</t>
        </is>
      </c>
      <c r="B40" t="inlineStr">
        <is>
          <t>Core 2 MCCP riser (SOHO)</t>
        </is>
      </c>
      <c r="C40" t="inlineStr">
        <is>
          <t>Tenant/Riser/AHU</t>
        </is>
      </c>
      <c r="D40" t="inlineStr">
        <is>
          <t>FD60</t>
        </is>
      </c>
      <c r="E40" t="inlineStr">
        <is>
          <t>Single Leaf</t>
        </is>
      </c>
      <c r="F40" t="inlineStr">
        <is>
          <t>Unknown</t>
        </is>
      </c>
      <c r="G40" t="inlineStr">
        <is>
          <t>Paint</t>
        </is>
      </c>
      <c r="H40" t="inlineStr">
        <is>
          <t>Damaged</t>
        </is>
      </c>
      <c r="I40" t="inlineStr">
        <is>
          <t>Unknown</t>
        </is>
      </c>
      <c r="J40" t="inlineStr">
        <is>
          <t>None</t>
        </is>
      </c>
      <c r="K40" t="inlineStr">
        <is>
          <t>ART01, ART04, ART13, ART21</t>
        </is>
      </c>
      <c r="L40" t="inlineStr">
        <is>
          <t>High</t>
        </is>
      </c>
      <c r="M40" t="inlineStr">
        <is>
          <t>06/09/2026</t>
        </is>
      </c>
      <c r="N40" t="inlineStr">
        <is>
          <t>YES</t>
        </is>
      </c>
      <c r="O40" t="inlineStr">
        <is>
          <t>NO</t>
        </is>
      </c>
      <c r="P40" t="inlineStr">
        <is>
          <t>B11</t>
        </is>
      </c>
      <c r="Q40" t="n">
        <v>1</v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ARTs: 01,04,13,21</t>
        </is>
      </c>
    </row>
    <row r="41">
      <c r="A41" t="inlineStr">
        <is>
          <t>A21-L3</t>
        </is>
      </c>
      <c r="B41" t="inlineStr">
        <is>
          <t>Dividing door north to west</t>
        </is>
      </c>
      <c r="C41" t="inlineStr">
        <is>
          <t>Tenant/Riser/AHU</t>
        </is>
      </c>
      <c r="D41" t="inlineStr">
        <is>
          <t>Nominal</t>
        </is>
      </c>
      <c r="E41" t="inlineStr">
        <is>
          <t>Single Leaf</t>
        </is>
      </c>
      <c r="F41" t="inlineStr">
        <is>
          <t>Unknown</t>
        </is>
      </c>
      <c r="G41" t="inlineStr">
        <is>
          <t>Paint</t>
        </is>
      </c>
      <c r="H41" t="inlineStr">
        <is>
          <t>Missing</t>
        </is>
      </c>
      <c r="I41" t="inlineStr">
        <is>
          <t>None fitted</t>
        </is>
      </c>
      <c r="J41" t="inlineStr">
        <is>
          <t>None</t>
        </is>
      </c>
      <c r="K41" t="inlineStr">
        <is>
          <t>ART05, ART11, ART19</t>
        </is>
      </c>
      <c r="L41" t="inlineStr">
        <is>
          <t>High</t>
        </is>
      </c>
      <c r="M41" t="inlineStr">
        <is>
          <t>06/09/2026</t>
        </is>
      </c>
      <c r="N41" t="inlineStr">
        <is>
          <t>YES</t>
        </is>
      </c>
      <c r="O41" t="inlineStr">
        <is>
          <t>NO</t>
        </is>
      </c>
      <c r="P41" t="inlineStr">
        <is>
          <t>B03</t>
        </is>
      </c>
      <c r="Q41" t="n">
        <v>1</v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ARTs: 05,11,19</t>
        </is>
      </c>
    </row>
    <row r="42">
      <c r="A42" t="inlineStr">
        <is>
          <t>A22-L3</t>
        </is>
      </c>
      <c r="B42" t="inlineStr">
        <is>
          <t>Female WCs north area</t>
        </is>
      </c>
      <c r="C42" t="inlineStr">
        <is>
          <t>Tenant/Riser/AHU</t>
        </is>
      </c>
      <c r="D42" t="inlineStr">
        <is>
          <t>FD30</t>
        </is>
      </c>
      <c r="E42" t="inlineStr">
        <is>
          <t>Single Leaf</t>
        </is>
      </c>
      <c r="F42" t="inlineStr">
        <is>
          <t>Unknown</t>
        </is>
      </c>
      <c r="G42" t="inlineStr">
        <is>
          <t>Unknown</t>
        </is>
      </c>
      <c r="H42" t="inlineStr">
        <is>
          <t>Missing</t>
        </is>
      </c>
      <c r="I42" t="inlineStr">
        <is>
          <t>Unknown</t>
        </is>
      </c>
      <c r="J42" t="inlineStr">
        <is>
          <t>Vision Panel</t>
        </is>
      </c>
      <c r="K42" t="inlineStr">
        <is>
          <t>ART08, ART11, ART19</t>
        </is>
      </c>
      <c r="L42" t="inlineStr">
        <is>
          <t>High</t>
        </is>
      </c>
      <c r="M42" t="inlineStr">
        <is>
          <t>06/09/2026</t>
        </is>
      </c>
      <c r="N42" t="inlineStr">
        <is>
          <t>YES</t>
        </is>
      </c>
      <c r="O42" t="inlineStr">
        <is>
          <t>NO</t>
        </is>
      </c>
      <c r="P42" t="inlineStr">
        <is>
          <t>B04</t>
        </is>
      </c>
      <c r="Q42" t="n">
        <v>1</v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YES</t>
        </is>
      </c>
      <c r="V42" t="inlineStr">
        <is>
          <t>ARTs: 08,11,19</t>
        </is>
      </c>
    </row>
    <row r="43">
      <c r="A43" s="90" t="inlineStr">
        <is>
          <t>--- NATIXIS / CITYSPACE SURVEY (Type 2 Excel — Option B PENDING) ---</t>
        </is>
      </c>
    </row>
    <row r="44">
      <c r="A44" s="88" t="inlineStr">
        <is>
          <t>Floor1-D1</t>
        </is>
      </c>
      <c r="B44" s="88" t="inlineStr">
        <is>
          <t>Comm's Room</t>
        </is>
      </c>
      <c r="C44" s="88" t="inlineStr">
        <is>
          <t>Unknown</t>
        </is>
      </c>
      <c r="D44" s="88" t="inlineStr">
        <is>
          <t>PENDING — fire strategy required</t>
        </is>
      </c>
      <c r="E44" s="88" t="inlineStr">
        <is>
          <t>Unknown</t>
        </is>
      </c>
      <c r="F44" s="88" t="inlineStr">
        <is>
          <t>Unknown</t>
        </is>
      </c>
      <c r="G44" s="88" t="inlineStr">
        <is>
          <t>Unknown</t>
        </is>
      </c>
      <c r="H44" s="88" t="inlineStr">
        <is>
          <t>Missing seal at top of door, where self-closer replaced</t>
        </is>
      </c>
      <c r="I44" s="88" t="inlineStr">
        <is>
          <t>OK</t>
        </is>
      </c>
      <c r="J44" s="88" t="inlineStr">
        <is>
          <t>No</t>
        </is>
      </c>
      <c r="K44" s="88" t="inlineStr">
        <is>
          <t>B04, B01</t>
        </is>
      </c>
      <c r="L44" s="88" t="inlineStr">
        <is>
          <t>Unknown</t>
        </is>
      </c>
      <c r="M44" s="88" t="inlineStr">
        <is>
          <t>06/09/2026</t>
        </is>
      </c>
      <c r="N44" s="88" t="inlineStr">
        <is>
          <t>YES</t>
        </is>
      </c>
      <c r="O44" s="88" t="inlineStr">
        <is>
          <t>PENDING</t>
        </is>
      </c>
      <c r="P44" s="88" t="inlineStr">
        <is>
          <t>B04</t>
        </is>
      </c>
      <c r="Q44" s="88" t="n">
        <v>1</v>
      </c>
      <c r="R44" s="88" t="inlineStr">
        <is>
          <t>NO</t>
        </is>
      </c>
      <c r="S44" s="88" t="inlineStr">
        <is>
          <t>NO</t>
        </is>
      </c>
      <c r="T44" s="88" t="inlineStr">
        <is>
          <t>NO</t>
        </is>
      </c>
      <c r="U44" s="88" t="inlineStr">
        <is>
          <t>NO</t>
        </is>
      </c>
      <c r="V44" s="88" t="inlineStr">
        <is>
          <t>Type 2 survey. Faults: seals=Missing seal at top of door, where self-, closer=OK</t>
        </is>
      </c>
    </row>
    <row r="45">
      <c r="A45" s="88" t="inlineStr">
        <is>
          <t>Floor1-D4</t>
        </is>
      </c>
      <c r="B45" s="88" t="inlineStr">
        <is>
          <t>Cleaners cupboard</t>
        </is>
      </c>
      <c r="C45" s="88" t="inlineStr">
        <is>
          <t>Unknown</t>
        </is>
      </c>
      <c r="D45" s="88" t="inlineStr">
        <is>
          <t>PENDING — fire strategy required</t>
        </is>
      </c>
      <c r="E45" s="88" t="inlineStr">
        <is>
          <t>Unknown</t>
        </is>
      </c>
      <c r="F45" s="88" t="inlineStr">
        <is>
          <t>Unknown</t>
        </is>
      </c>
      <c r="G45" s="88" t="inlineStr">
        <is>
          <t>Unknown</t>
        </is>
      </c>
      <c r="H45" s="88" t="inlineStr">
        <is>
          <t>OK</t>
        </is>
      </c>
      <c r="I45" s="88" t="inlineStr">
        <is>
          <t>Requires adjustment to overcome latch.</t>
        </is>
      </c>
      <c r="J45" s="88" t="inlineStr">
        <is>
          <t>No</t>
        </is>
      </c>
      <c r="K45" s="88" t="inlineStr">
        <is>
          <t>B10</t>
        </is>
      </c>
      <c r="L45" s="88" t="inlineStr">
        <is>
          <t>Unknown</t>
        </is>
      </c>
      <c r="M45" s="88" t="inlineStr">
        <is>
          <t>06/09/2026</t>
        </is>
      </c>
      <c r="N45" s="88" t="inlineStr">
        <is>
          <t>YES</t>
        </is>
      </c>
      <c r="O45" s="88" t="inlineStr">
        <is>
          <t>PENDING</t>
        </is>
      </c>
      <c r="P45" s="88" t="inlineStr">
        <is>
          <t>B10</t>
        </is>
      </c>
      <c r="Q45" s="88" t="n">
        <v>1</v>
      </c>
      <c r="R45" s="88" t="inlineStr">
        <is>
          <t>NO</t>
        </is>
      </c>
      <c r="S45" s="88" t="inlineStr">
        <is>
          <t>NO</t>
        </is>
      </c>
      <c r="T45" s="88" t="inlineStr">
        <is>
          <t>NO</t>
        </is>
      </c>
      <c r="U45" s="88" t="inlineStr">
        <is>
          <t>NO</t>
        </is>
      </c>
      <c r="V45" s="88" t="inlineStr">
        <is>
          <t>Type 2 survey. Faults: seals=OK, closer=Requires adjustment to overcome latch. | WEDGED: Wedge noted - staff present stated only when room in use.</t>
        </is>
      </c>
    </row>
    <row r="46">
      <c r="A46" s="88" t="inlineStr">
        <is>
          <t>Floor1-D5</t>
        </is>
      </c>
      <c r="B46" s="88" t="inlineStr">
        <is>
          <t>Door is kept shut - small cupboard</t>
        </is>
      </c>
      <c r="C46" s="88" t="inlineStr">
        <is>
          <t>Unknown</t>
        </is>
      </c>
      <c r="D46" s="88" t="inlineStr">
        <is>
          <t>PENDING — fire strategy required</t>
        </is>
      </c>
      <c r="E46" s="88" t="inlineStr">
        <is>
          <t>Unknown</t>
        </is>
      </c>
      <c r="F46" s="88" t="inlineStr">
        <is>
          <t>Unknown</t>
        </is>
      </c>
      <c r="G46" s="88" t="inlineStr">
        <is>
          <t>Unknown</t>
        </is>
      </c>
      <c r="H46" s="88" t="inlineStr">
        <is>
          <t>OK</t>
        </is>
      </c>
      <c r="I46" s="88" t="inlineStr">
        <is>
          <t>Requires adjustment to overcome latch.</t>
        </is>
      </c>
      <c r="J46" s="88" t="inlineStr">
        <is>
          <t>No</t>
        </is>
      </c>
      <c r="K46" s="88" t="inlineStr">
        <is>
          <t>B10</t>
        </is>
      </c>
      <c r="L46" s="88" t="inlineStr">
        <is>
          <t>Unknown</t>
        </is>
      </c>
      <c r="M46" s="88" t="inlineStr">
        <is>
          <t>06/09/2026</t>
        </is>
      </c>
      <c r="N46" s="88" t="inlineStr">
        <is>
          <t>YES</t>
        </is>
      </c>
      <c r="O46" s="88" t="inlineStr">
        <is>
          <t>PENDING</t>
        </is>
      </c>
      <c r="P46" s="88" t="inlineStr">
        <is>
          <t>B10</t>
        </is>
      </c>
      <c r="Q46" s="88" t="n">
        <v>1</v>
      </c>
      <c r="R46" s="88" t="inlineStr">
        <is>
          <t>NO</t>
        </is>
      </c>
      <c r="S46" s="88" t="inlineStr">
        <is>
          <t>NO</t>
        </is>
      </c>
      <c r="T46" s="88" t="inlineStr">
        <is>
          <t>NO</t>
        </is>
      </c>
      <c r="U46" s="88" t="inlineStr">
        <is>
          <t>NO</t>
        </is>
      </c>
      <c r="V46" s="88" t="inlineStr">
        <is>
          <t>Type 2 survey. Faults: seals=OK, closer=Requires adjustment to overcome latch.</t>
        </is>
      </c>
    </row>
    <row r="47">
      <c r="A47" s="88" t="inlineStr">
        <is>
          <t>Floor1-D7</t>
        </is>
      </c>
      <c r="B47" s="88" t="inlineStr">
        <is>
          <t>Not marked up as 'Fire Door'.  - PDU Room</t>
        </is>
      </c>
      <c r="C47" s="88" t="inlineStr">
        <is>
          <t>Unknown</t>
        </is>
      </c>
      <c r="D47" s="88" t="inlineStr">
        <is>
          <t>PENDING — fire strategy required</t>
        </is>
      </c>
      <c r="E47" s="88" t="inlineStr">
        <is>
          <t>Unknown</t>
        </is>
      </c>
      <c r="F47" s="88" t="inlineStr">
        <is>
          <t>Unknown</t>
        </is>
      </c>
      <c r="G47" s="88" t="inlineStr">
        <is>
          <t>Unknown</t>
        </is>
      </c>
      <c r="H47" s="88" t="inlineStr">
        <is>
          <t>Intumescent strip has been painted over</t>
        </is>
      </c>
      <c r="I47" s="88" t="inlineStr">
        <is>
          <t>OK</t>
        </is>
      </c>
      <c r="J47" s="88" t="inlineStr">
        <is>
          <t>No</t>
        </is>
      </c>
      <c r="K47" s="88" t="inlineStr">
        <is>
          <t>B01, B07</t>
        </is>
      </c>
      <c r="L47" s="88" t="inlineStr">
        <is>
          <t>Unknown</t>
        </is>
      </c>
      <c r="M47" s="88" t="inlineStr">
        <is>
          <t>06/09/2026</t>
        </is>
      </c>
      <c r="N47" s="88" t="inlineStr">
        <is>
          <t>YES</t>
        </is>
      </c>
      <c r="O47" s="88" t="inlineStr">
        <is>
          <t>PENDING</t>
        </is>
      </c>
      <c r="P47" s="88" t="inlineStr">
        <is>
          <t>B01</t>
        </is>
      </c>
      <c r="Q47" s="88" t="n">
        <v>1</v>
      </c>
      <c r="R47" s="88" t="inlineStr">
        <is>
          <t>NO</t>
        </is>
      </c>
      <c r="S47" s="88" t="inlineStr">
        <is>
          <t>NO</t>
        </is>
      </c>
      <c r="T47" s="88" t="inlineStr">
        <is>
          <t>NO</t>
        </is>
      </c>
      <c r="U47" s="88" t="inlineStr">
        <is>
          <t>NO</t>
        </is>
      </c>
      <c r="V47" s="88" t="inlineStr">
        <is>
          <t>Type 2 survey. Faults: seals=Intumescent strip has been painted over, closer=OK</t>
        </is>
      </c>
    </row>
    <row r="48">
      <c r="A48" s="91" t="inlineStr">
        <is>
          <t>Floor1-D11</t>
        </is>
      </c>
      <c r="B48" s="91" t="inlineStr">
        <is>
          <t>Kitchen</t>
        </is>
      </c>
      <c r="C48" s="91" t="inlineStr">
        <is>
          <t>Unknown</t>
        </is>
      </c>
      <c r="D48" s="91" t="inlineStr">
        <is>
          <t>PENDING — fire strategy required</t>
        </is>
      </c>
      <c r="E48" s="91" t="inlineStr">
        <is>
          <t>Unknown</t>
        </is>
      </c>
      <c r="F48" s="91" t="inlineStr">
        <is>
          <t>Unknown</t>
        </is>
      </c>
      <c r="G48" s="91" t="inlineStr">
        <is>
          <t>Unknown</t>
        </is>
      </c>
      <c r="H48" s="91" t="inlineStr">
        <is>
          <t>Coming away on the bottom edge</t>
        </is>
      </c>
      <c r="I48" s="91" t="inlineStr">
        <is>
          <t>Perco double chains noted in use on door</t>
        </is>
      </c>
      <c r="J48" s="91" t="inlineStr">
        <is>
          <t>No</t>
        </is>
      </c>
      <c r="K48" s="91" t="inlineStr">
        <is>
          <t>FLAG — manual review</t>
        </is>
      </c>
      <c r="L48" s="91" t="inlineStr">
        <is>
          <t>Unknown</t>
        </is>
      </c>
      <c r="M48" s="91" t="inlineStr">
        <is>
          <t>06/09/2026</t>
        </is>
      </c>
      <c r="N48" s="91" t="inlineStr">
        <is>
          <t>NO</t>
        </is>
      </c>
      <c r="O48" s="91" t="inlineStr">
        <is>
          <t>PENDING</t>
        </is>
      </c>
      <c r="P48" s="91" t="inlineStr"/>
      <c r="Q48" s="91" t="n">
        <v>1</v>
      </c>
      <c r="R48" s="91" t="inlineStr">
        <is>
          <t>NO</t>
        </is>
      </c>
      <c r="S48" s="91" t="inlineStr">
        <is>
          <t>NO</t>
        </is>
      </c>
      <c r="T48" s="91" t="inlineStr">
        <is>
          <t>NO</t>
        </is>
      </c>
      <c r="U48" s="91" t="inlineStr">
        <is>
          <t>NO</t>
        </is>
      </c>
      <c r="V48" s="91" t="inlineStr">
        <is>
          <t>Type 2 survey. Faults: seals=Coming away on the bottom edge, closer=Perco double chains noted in use on door | FLAG: Hold-open device in use — B08 may be needed</t>
        </is>
      </c>
    </row>
    <row r="49">
      <c r="A49" s="88" t="inlineStr">
        <is>
          <t>Floor1-D14</t>
        </is>
      </c>
      <c r="B49" s="88" t="inlineStr">
        <is>
          <t>Kept locked shut. - Plant Room</t>
        </is>
      </c>
      <c r="C49" s="88" t="inlineStr">
        <is>
          <t>Unknown</t>
        </is>
      </c>
      <c r="D49" s="88" t="inlineStr">
        <is>
          <t>PENDING — fire strategy required</t>
        </is>
      </c>
      <c r="E49" s="88" t="inlineStr">
        <is>
          <t>Unknown</t>
        </is>
      </c>
      <c r="F49" s="88" t="inlineStr">
        <is>
          <t>Unknown</t>
        </is>
      </c>
      <c r="G49" s="88" t="inlineStr">
        <is>
          <t>Unknown</t>
        </is>
      </c>
      <c r="H49" s="88" t="inlineStr">
        <is>
          <t>None fitted.</t>
        </is>
      </c>
      <c r="I49" s="88" t="inlineStr">
        <is>
          <t>Not Fitted</t>
        </is>
      </c>
      <c r="J49" s="88" t="inlineStr">
        <is>
          <t>No</t>
        </is>
      </c>
      <c r="K49" s="88" t="inlineStr">
        <is>
          <t>B01, B03</t>
        </is>
      </c>
      <c r="L49" s="88" t="inlineStr">
        <is>
          <t>Unknown</t>
        </is>
      </c>
      <c r="M49" s="88" t="inlineStr">
        <is>
          <t>06/09/2026</t>
        </is>
      </c>
      <c r="N49" s="88" t="inlineStr">
        <is>
          <t>YES</t>
        </is>
      </c>
      <c r="O49" s="88" t="inlineStr">
        <is>
          <t>PENDING</t>
        </is>
      </c>
      <c r="P49" s="88" t="inlineStr">
        <is>
          <t>B01</t>
        </is>
      </c>
      <c r="Q49" s="88" t="n">
        <v>1</v>
      </c>
      <c r="R49" s="88" t="inlineStr">
        <is>
          <t>NO</t>
        </is>
      </c>
      <c r="S49" s="88" t="inlineStr">
        <is>
          <t>NO</t>
        </is>
      </c>
      <c r="T49" s="88" t="inlineStr">
        <is>
          <t>NO</t>
        </is>
      </c>
      <c r="U49" s="88" t="inlineStr">
        <is>
          <t>NO</t>
        </is>
      </c>
      <c r="V49" s="88" t="inlineStr">
        <is>
          <t>Type 2 survey. Faults: seals=None fitted., closer=Not Fitted</t>
        </is>
      </c>
    </row>
    <row r="50">
      <c r="A50" s="88" t="inlineStr">
        <is>
          <t>Floor1-D18</t>
        </is>
      </c>
      <c r="B50" s="88" t="inlineStr">
        <is>
          <t>Kept closed.</t>
        </is>
      </c>
      <c r="C50" s="88" t="inlineStr">
        <is>
          <t>Unknown</t>
        </is>
      </c>
      <c r="D50" s="88" t="inlineStr">
        <is>
          <t>PENDING — fire strategy required</t>
        </is>
      </c>
      <c r="E50" s="88" t="inlineStr">
        <is>
          <t>Unknown</t>
        </is>
      </c>
      <c r="F50" s="88" t="inlineStr">
        <is>
          <t>Unknown</t>
        </is>
      </c>
      <c r="G50" s="88" t="inlineStr">
        <is>
          <t>Unknown</t>
        </is>
      </c>
      <c r="H50" s="88" t="inlineStr">
        <is>
          <t>Intumescent only.</t>
        </is>
      </c>
      <c r="I50" s="88" t="inlineStr">
        <is>
          <t>Not Fitted</t>
        </is>
      </c>
      <c r="J50" s="88" t="inlineStr">
        <is>
          <t>No</t>
        </is>
      </c>
      <c r="K50" s="88" t="inlineStr">
        <is>
          <t>B02, B03</t>
        </is>
      </c>
      <c r="L50" s="88" t="inlineStr">
        <is>
          <t>Unknown</t>
        </is>
      </c>
      <c r="M50" s="88" t="inlineStr">
        <is>
          <t>06/09/2026</t>
        </is>
      </c>
      <c r="N50" s="88" t="inlineStr">
        <is>
          <t>YES</t>
        </is>
      </c>
      <c r="O50" s="88" t="inlineStr">
        <is>
          <t>PENDING</t>
        </is>
      </c>
      <c r="P50" s="88" t="inlineStr">
        <is>
          <t>B02</t>
        </is>
      </c>
      <c r="Q50" s="88" t="n">
        <v>1</v>
      </c>
      <c r="R50" s="88" t="inlineStr">
        <is>
          <t>NO</t>
        </is>
      </c>
      <c r="S50" s="88" t="inlineStr">
        <is>
          <t>NO</t>
        </is>
      </c>
      <c r="T50" s="88" t="inlineStr">
        <is>
          <t>NO</t>
        </is>
      </c>
      <c r="U50" s="88" t="inlineStr">
        <is>
          <t>NO</t>
        </is>
      </c>
      <c r="V50" s="88" t="inlineStr">
        <is>
          <t>Type 2 survey. Faults: seals=Intumescent only., closer=Not Fitted</t>
        </is>
      </c>
    </row>
    <row r="51">
      <c r="A51" s="91" t="inlineStr">
        <is>
          <t>Floor1-D20</t>
        </is>
      </c>
      <c r="B51" s="91" t="inlineStr">
        <is>
          <t>Access hatch to service riser for maintenance only.</t>
        </is>
      </c>
      <c r="C51" s="91" t="inlineStr">
        <is>
          <t>Unknown</t>
        </is>
      </c>
      <c r="D51" s="91" t="inlineStr">
        <is>
          <t>PENDING — fire strategy required</t>
        </is>
      </c>
      <c r="E51" s="91" t="inlineStr">
        <is>
          <t>Unknown</t>
        </is>
      </c>
      <c r="F51" s="91" t="inlineStr">
        <is>
          <t>Unknown</t>
        </is>
      </c>
      <c r="G51" s="91" t="inlineStr">
        <is>
          <t>Unknown</t>
        </is>
      </c>
      <c r="H51" s="91" t="inlineStr">
        <is>
          <t>Unable to open door and check.</t>
        </is>
      </c>
      <c r="I51" s="91" t="inlineStr">
        <is>
          <t>Unable to open door and check.</t>
        </is>
      </c>
      <c r="J51" s="91" t="inlineStr">
        <is>
          <t>No</t>
        </is>
      </c>
      <c r="K51" s="91" t="inlineStr">
        <is>
          <t>FLAG — manual review</t>
        </is>
      </c>
      <c r="L51" s="91" t="inlineStr">
        <is>
          <t>Unknown</t>
        </is>
      </c>
      <c r="M51" s="91" t="inlineStr">
        <is>
          <t>06/09/2026</t>
        </is>
      </c>
      <c r="N51" s="91" t="inlineStr">
        <is>
          <t>NO</t>
        </is>
      </c>
      <c r="O51" s="91" t="inlineStr">
        <is>
          <t>PENDING</t>
        </is>
      </c>
      <c r="P51" s="91" t="inlineStr"/>
      <c r="Q51" s="91" t="n">
        <v>1</v>
      </c>
      <c r="R51" s="91" t="inlineStr">
        <is>
          <t>NO</t>
        </is>
      </c>
      <c r="S51" s="91" t="inlineStr">
        <is>
          <t>NO</t>
        </is>
      </c>
      <c r="T51" s="91" t="inlineStr">
        <is>
          <t>NO</t>
        </is>
      </c>
      <c r="U51" s="91" t="inlineStr">
        <is>
          <t>NO</t>
        </is>
      </c>
      <c r="V51" s="91" t="inlineStr">
        <is>
          <t>Type 2 survey. Faults: seals=Unable to open door and check., closer=Unable to open door and check. | FLAG: Unable to inspect hinges/ironmongery | FLAG: Unable to inspect seals | FLAG: Unable to inspect closer</t>
        </is>
      </c>
    </row>
    <row r="52">
      <c r="A52" s="88" t="inlineStr">
        <is>
          <t>Floor1-D22</t>
        </is>
      </c>
      <c r="B52" s="88" t="inlineStr">
        <is>
          <t>Kitchen holding area and kitchen staff changing areas</t>
        </is>
      </c>
      <c r="C52" s="88" t="inlineStr">
        <is>
          <t>Unknown</t>
        </is>
      </c>
      <c r="D52" s="88" t="inlineStr">
        <is>
          <t>PENDING — fire strategy required</t>
        </is>
      </c>
      <c r="E52" s="88" t="inlineStr">
        <is>
          <t>Unknown</t>
        </is>
      </c>
      <c r="F52" s="88" t="inlineStr">
        <is>
          <t>Unknown</t>
        </is>
      </c>
      <c r="G52" s="88" t="inlineStr">
        <is>
          <t>Unknown</t>
        </is>
      </c>
      <c r="H52" s="88" t="inlineStr">
        <is>
          <t xml:space="preserve">Damage to smoke seal </t>
        </is>
      </c>
      <c r="I52" s="88" t="inlineStr">
        <is>
          <t>OK</t>
        </is>
      </c>
      <c r="J52" s="88" t="inlineStr">
        <is>
          <t>No</t>
        </is>
      </c>
      <c r="K52" s="88" t="inlineStr">
        <is>
          <t>B01</t>
        </is>
      </c>
      <c r="L52" s="88" t="inlineStr">
        <is>
          <t>Unknown</t>
        </is>
      </c>
      <c r="M52" s="88" t="inlineStr">
        <is>
          <t>06/09/2026</t>
        </is>
      </c>
      <c r="N52" s="88" t="inlineStr">
        <is>
          <t>YES</t>
        </is>
      </c>
      <c r="O52" s="88" t="inlineStr">
        <is>
          <t>PENDING</t>
        </is>
      </c>
      <c r="P52" s="88" t="inlineStr">
        <is>
          <t>B01</t>
        </is>
      </c>
      <c r="Q52" s="88" t="n">
        <v>1</v>
      </c>
      <c r="R52" s="88" t="inlineStr">
        <is>
          <t>NO</t>
        </is>
      </c>
      <c r="S52" s="88" t="inlineStr">
        <is>
          <t>NO</t>
        </is>
      </c>
      <c r="T52" s="88" t="inlineStr">
        <is>
          <t>NO</t>
        </is>
      </c>
      <c r="U52" s="88" t="inlineStr">
        <is>
          <t>NO</t>
        </is>
      </c>
      <c r="V52" s="88" t="inlineStr">
        <is>
          <t>Type 2 survey. Faults: seals=Damage to smoke seal , closer=OK</t>
        </is>
      </c>
    </row>
    <row r="53">
      <c r="A53" s="88" t="inlineStr">
        <is>
          <t>Floor2-D3</t>
        </is>
      </c>
      <c r="B53" s="88" t="inlineStr">
        <is>
          <t>Plant room kept locked shut.</t>
        </is>
      </c>
      <c r="C53" s="88" t="inlineStr">
        <is>
          <t>Unknown</t>
        </is>
      </c>
      <c r="D53" s="88" t="inlineStr">
        <is>
          <t>PENDING — fire strategy required</t>
        </is>
      </c>
      <c r="E53" s="88" t="inlineStr">
        <is>
          <t>Unknown</t>
        </is>
      </c>
      <c r="F53" s="88" t="inlineStr">
        <is>
          <t>Unknown</t>
        </is>
      </c>
      <c r="G53" s="88" t="inlineStr">
        <is>
          <t>Unknown</t>
        </is>
      </c>
      <c r="H53" s="88" t="inlineStr">
        <is>
          <t>OK</t>
        </is>
      </c>
      <c r="I53" s="88" t="inlineStr">
        <is>
          <t>OK</t>
        </is>
      </c>
      <c r="J53" s="88" t="inlineStr">
        <is>
          <t>No</t>
        </is>
      </c>
      <c r="K53" s="88" t="inlineStr">
        <is>
          <t>B04</t>
        </is>
      </c>
      <c r="L53" s="88" t="inlineStr">
        <is>
          <t>Unknown</t>
        </is>
      </c>
      <c r="M53" s="88" t="inlineStr">
        <is>
          <t>06/09/2026</t>
        </is>
      </c>
      <c r="N53" s="88" t="inlineStr">
        <is>
          <t>YES</t>
        </is>
      </c>
      <c r="O53" s="88" t="inlineStr">
        <is>
          <t>PENDING</t>
        </is>
      </c>
      <c r="P53" s="88" t="inlineStr">
        <is>
          <t>B04</t>
        </is>
      </c>
      <c r="Q53" s="88" t="n">
        <v>1</v>
      </c>
      <c r="R53" s="88" t="inlineStr">
        <is>
          <t>NO</t>
        </is>
      </c>
      <c r="S53" s="88" t="inlineStr">
        <is>
          <t>NO</t>
        </is>
      </c>
      <c r="T53" s="88" t="inlineStr">
        <is>
          <t>NO</t>
        </is>
      </c>
      <c r="U53" s="88" t="inlineStr">
        <is>
          <t>NO</t>
        </is>
      </c>
      <c r="V53" s="88" t="inlineStr">
        <is>
          <t>Type 2 survey. Faults: seals=OK, closer=OK</t>
        </is>
      </c>
    </row>
    <row r="54">
      <c r="A54" s="91" t="inlineStr">
        <is>
          <t>Floor2-D5</t>
        </is>
      </c>
      <c r="B54" s="91" t="inlineStr">
        <is>
          <t>Unable to open door fully. Marked as store.</t>
        </is>
      </c>
      <c r="C54" s="91" t="inlineStr">
        <is>
          <t>Unknown</t>
        </is>
      </c>
      <c r="D54" s="91" t="inlineStr">
        <is>
          <t>PENDING — fire strategy required</t>
        </is>
      </c>
      <c r="E54" s="91" t="inlineStr">
        <is>
          <t>Unknown</t>
        </is>
      </c>
      <c r="F54" s="91" t="inlineStr">
        <is>
          <t>Unknown</t>
        </is>
      </c>
      <c r="G54" s="91" t="inlineStr">
        <is>
          <t>Unknown</t>
        </is>
      </c>
      <c r="H54" s="91" t="inlineStr">
        <is>
          <t>Unable to open  fully door and check.</t>
        </is>
      </c>
      <c r="I54" s="91" t="inlineStr">
        <is>
          <t>Unable to open  fully door and check.</t>
        </is>
      </c>
      <c r="J54" s="91" t="inlineStr">
        <is>
          <t>No</t>
        </is>
      </c>
      <c r="K54" s="91" t="inlineStr">
        <is>
          <t>FLAG — manual review</t>
        </is>
      </c>
      <c r="L54" s="91" t="inlineStr">
        <is>
          <t>Unknown</t>
        </is>
      </c>
      <c r="M54" s="91" t="inlineStr">
        <is>
          <t>06/09/2026</t>
        </is>
      </c>
      <c r="N54" s="91" t="inlineStr">
        <is>
          <t>NO</t>
        </is>
      </c>
      <c r="O54" s="91" t="inlineStr">
        <is>
          <t>PENDING</t>
        </is>
      </c>
      <c r="P54" s="91" t="inlineStr"/>
      <c r="Q54" s="91" t="n">
        <v>1</v>
      </c>
      <c r="R54" s="91" t="inlineStr">
        <is>
          <t>NO</t>
        </is>
      </c>
      <c r="S54" s="91" t="inlineStr">
        <is>
          <t>NO</t>
        </is>
      </c>
      <c r="T54" s="91" t="inlineStr">
        <is>
          <t>NO</t>
        </is>
      </c>
      <c r="U54" s="91" t="inlineStr">
        <is>
          <t>NO</t>
        </is>
      </c>
      <c r="V54" s="91" t="inlineStr">
        <is>
          <t>Type 2 survey. Faults: seals=Unable to open  fully door and check., closer=Unable to open  fully door and check. | FLAG: Unable to inspect hinges/ironmongery | FLAG: Unable to inspect seals | FLAG: Unable to inspect closer</t>
        </is>
      </c>
    </row>
    <row r="55">
      <c r="A55" s="91" t="inlineStr">
        <is>
          <t>Floor3-D1</t>
        </is>
      </c>
      <c r="B55" s="91" t="inlineStr">
        <is>
          <t>Electrical cupboard. Could only open right hand door due to location of drinks cabinet.</t>
        </is>
      </c>
      <c r="C55" s="91" t="inlineStr">
        <is>
          <t>Unknown</t>
        </is>
      </c>
      <c r="D55" s="91" t="inlineStr">
        <is>
          <t>PENDING — fire strategy required</t>
        </is>
      </c>
      <c r="E55" s="91" t="inlineStr">
        <is>
          <t>Unknown</t>
        </is>
      </c>
      <c r="F55" s="91" t="inlineStr">
        <is>
          <t>Unknown</t>
        </is>
      </c>
      <c r="G55" s="91" t="inlineStr">
        <is>
          <t>Unknown</t>
        </is>
      </c>
      <c r="H55" s="91" t="inlineStr">
        <is>
          <t>Intumescent only.</t>
        </is>
      </c>
      <c r="I55" s="91" t="inlineStr">
        <is>
          <t>Unable to open door to check</t>
        </is>
      </c>
      <c r="J55" s="91" t="inlineStr">
        <is>
          <t>No</t>
        </is>
      </c>
      <c r="K55" s="91" t="inlineStr">
        <is>
          <t>B02</t>
        </is>
      </c>
      <c r="L55" s="91" t="inlineStr">
        <is>
          <t>Unknown</t>
        </is>
      </c>
      <c r="M55" s="91" t="inlineStr">
        <is>
          <t>06/09/2026</t>
        </is>
      </c>
      <c r="N55" s="91" t="inlineStr">
        <is>
          <t>YES</t>
        </is>
      </c>
      <c r="O55" s="91" t="inlineStr">
        <is>
          <t>PENDING</t>
        </is>
      </c>
      <c r="P55" s="91" t="inlineStr">
        <is>
          <t>B02</t>
        </is>
      </c>
      <c r="Q55" s="91" t="n">
        <v>1</v>
      </c>
      <c r="R55" s="91" t="inlineStr">
        <is>
          <t>NO</t>
        </is>
      </c>
      <c r="S55" s="91" t="inlineStr">
        <is>
          <t>NO</t>
        </is>
      </c>
      <c r="T55" s="91" t="inlineStr">
        <is>
          <t>NO</t>
        </is>
      </c>
      <c r="U55" s="91" t="inlineStr">
        <is>
          <t>NO</t>
        </is>
      </c>
      <c r="V55" s="91" t="inlineStr">
        <is>
          <t>Type 2 survey. Faults: seals=Intumescent only., closer=Unable to open door to check | FLAG: Unable to inspect closer</t>
        </is>
      </c>
    </row>
    <row r="56">
      <c r="A56" s="88" t="inlineStr">
        <is>
          <t>Floor3-D3</t>
        </is>
      </c>
      <c r="B56" s="88" t="inlineStr">
        <is>
          <t>Level 3 plant room</t>
        </is>
      </c>
      <c r="C56" s="88" t="inlineStr">
        <is>
          <t>Unknown</t>
        </is>
      </c>
      <c r="D56" s="88" t="inlineStr">
        <is>
          <t>PENDING — fire strategy required</t>
        </is>
      </c>
      <c r="E56" s="88" t="inlineStr">
        <is>
          <t>Unknown</t>
        </is>
      </c>
      <c r="F56" s="88" t="inlineStr">
        <is>
          <t>Unknown</t>
        </is>
      </c>
      <c r="G56" s="88" t="inlineStr">
        <is>
          <t>Unknown</t>
        </is>
      </c>
      <c r="H56" s="88" t="inlineStr">
        <is>
          <t>Smoke seal worn on top edge</t>
        </is>
      </c>
      <c r="I56" s="88" t="inlineStr">
        <is>
          <t>OK</t>
        </is>
      </c>
      <c r="J56" s="88" t="inlineStr">
        <is>
          <t>No</t>
        </is>
      </c>
      <c r="K56" s="88" t="inlineStr">
        <is>
          <t>B01</t>
        </is>
      </c>
      <c r="L56" s="88" t="inlineStr">
        <is>
          <t>Unknown</t>
        </is>
      </c>
      <c r="M56" s="88" t="inlineStr">
        <is>
          <t>06/09/2026</t>
        </is>
      </c>
      <c r="N56" s="88" t="inlineStr">
        <is>
          <t>YES</t>
        </is>
      </c>
      <c r="O56" s="88" t="inlineStr">
        <is>
          <t>PENDING</t>
        </is>
      </c>
      <c r="P56" s="88" t="inlineStr">
        <is>
          <t>B01</t>
        </is>
      </c>
      <c r="Q56" s="88" t="n">
        <v>1</v>
      </c>
      <c r="R56" s="88" t="inlineStr">
        <is>
          <t>NO</t>
        </is>
      </c>
      <c r="S56" s="88" t="inlineStr">
        <is>
          <t>NO</t>
        </is>
      </c>
      <c r="T56" s="88" t="inlineStr">
        <is>
          <t>NO</t>
        </is>
      </c>
      <c r="U56" s="88" t="inlineStr">
        <is>
          <t>NO</t>
        </is>
      </c>
      <c r="V56" s="88" t="inlineStr">
        <is>
          <t>Type 2 survey. Faults: seals=Smoke seal worn on top edge, closer=OK | WEDGED: Wedge noted</t>
        </is>
      </c>
    </row>
    <row r="57">
      <c r="A57" s="88" t="inlineStr">
        <is>
          <t>Floor3-D6</t>
        </is>
      </c>
      <c r="B57" s="88" t="inlineStr">
        <is>
          <t>Fire door exit from office into corridor</t>
        </is>
      </c>
      <c r="C57" s="88" t="inlineStr">
        <is>
          <t>Unknown</t>
        </is>
      </c>
      <c r="D57" s="88" t="inlineStr">
        <is>
          <t>PENDING — fire strategy required</t>
        </is>
      </c>
      <c r="E57" s="88" t="inlineStr">
        <is>
          <t>Unknown</t>
        </is>
      </c>
      <c r="F57" s="88" t="inlineStr">
        <is>
          <t>Unknown</t>
        </is>
      </c>
      <c r="G57" s="88" t="inlineStr">
        <is>
          <t>Unknown</t>
        </is>
      </c>
      <c r="H57" s="88" t="inlineStr">
        <is>
          <t>OK</t>
        </is>
      </c>
      <c r="I57" s="88" t="inlineStr">
        <is>
          <t>Not closing as catching on floor.</t>
        </is>
      </c>
      <c r="J57" s="88" t="inlineStr">
        <is>
          <t>No</t>
        </is>
      </c>
      <c r="K57" s="88" t="inlineStr">
        <is>
          <t>B10</t>
        </is>
      </c>
      <c r="L57" s="88" t="inlineStr">
        <is>
          <t>Unknown</t>
        </is>
      </c>
      <c r="M57" s="88" t="inlineStr">
        <is>
          <t>06/09/2026</t>
        </is>
      </c>
      <c r="N57" s="88" t="inlineStr">
        <is>
          <t>YES</t>
        </is>
      </c>
      <c r="O57" s="88" t="inlineStr">
        <is>
          <t>PENDING</t>
        </is>
      </c>
      <c r="P57" s="88" t="inlineStr">
        <is>
          <t>B10</t>
        </is>
      </c>
      <c r="Q57" s="88" t="n">
        <v>1</v>
      </c>
      <c r="R57" s="88" t="inlineStr">
        <is>
          <t>NO</t>
        </is>
      </c>
      <c r="S57" s="88" t="inlineStr">
        <is>
          <t>NO</t>
        </is>
      </c>
      <c r="T57" s="88" t="inlineStr">
        <is>
          <t>NO</t>
        </is>
      </c>
      <c r="U57" s="88" t="inlineStr">
        <is>
          <t>NO</t>
        </is>
      </c>
      <c r="V57" s="88" t="inlineStr">
        <is>
          <t>Type 2 survey. Faults: seals=OK, closer=Not closing as catching on floor.</t>
        </is>
      </c>
    </row>
    <row r="58">
      <c r="A58" s="91" t="inlineStr">
        <is>
          <t>Floor3-D11</t>
        </is>
      </c>
      <c r="B58" s="91" t="inlineStr">
        <is>
          <t>Service access hatch door - no markings/labels.</t>
        </is>
      </c>
      <c r="C58" s="91" t="inlineStr">
        <is>
          <t>Unknown</t>
        </is>
      </c>
      <c r="D58" s="91" t="inlineStr">
        <is>
          <t>PENDING — fire strategy required</t>
        </is>
      </c>
      <c r="E58" s="91" t="inlineStr">
        <is>
          <t>Unknown</t>
        </is>
      </c>
      <c r="F58" s="91" t="inlineStr">
        <is>
          <t>Unknown</t>
        </is>
      </c>
      <c r="G58" s="91" t="inlineStr">
        <is>
          <t>Unknown</t>
        </is>
      </c>
      <c r="H58" s="91" t="inlineStr">
        <is>
          <t>Unable to open door to check.</t>
        </is>
      </c>
      <c r="I58" s="91" t="inlineStr">
        <is>
          <t>Unable to open door to check</t>
        </is>
      </c>
      <c r="J58" s="91" t="inlineStr">
        <is>
          <t>No</t>
        </is>
      </c>
      <c r="K58" s="91" t="inlineStr">
        <is>
          <t>B07</t>
        </is>
      </c>
      <c r="L58" s="91" t="inlineStr">
        <is>
          <t>Unknown</t>
        </is>
      </c>
      <c r="M58" s="91" t="inlineStr">
        <is>
          <t>06/09/2026</t>
        </is>
      </c>
      <c r="N58" s="91" t="inlineStr">
        <is>
          <t>YES</t>
        </is>
      </c>
      <c r="O58" s="91" t="inlineStr">
        <is>
          <t>PENDING</t>
        </is>
      </c>
      <c r="P58" s="91" t="inlineStr">
        <is>
          <t>B07</t>
        </is>
      </c>
      <c r="Q58" s="91" t="n">
        <v>1</v>
      </c>
      <c r="R58" s="91" t="inlineStr">
        <is>
          <t>NO</t>
        </is>
      </c>
      <c r="S58" s="91" t="inlineStr">
        <is>
          <t>NO</t>
        </is>
      </c>
      <c r="T58" s="91" t="inlineStr">
        <is>
          <t>NO</t>
        </is>
      </c>
      <c r="U58" s="91" t="inlineStr">
        <is>
          <t>NO</t>
        </is>
      </c>
      <c r="V58" s="91" t="inlineStr">
        <is>
          <t>Type 2 survey. Faults: seals=Unable to open door to check., closer=Unable to open door to check | FLAG: Unable to inspect hinges/ironmongery | FLAG: Unable to inspect seals | FLAG: Unable to inspect closer</t>
        </is>
      </c>
    </row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AlphaSights</t>
        </is>
      </c>
    </row>
    <row r="5">
      <c r="A5" s="31" t="inlineStr">
        <is>
          <t>Site:</t>
        </is>
      </c>
      <c r="B5" t="inlineStr">
        <is>
          <t>Thames Court</t>
        </is>
      </c>
    </row>
    <row r="6">
      <c r="A6" s="31" t="inlineStr">
        <is>
          <t>Building:</t>
        </is>
      </c>
      <c r="B6" t="inlineStr">
        <is>
          <t>1 Queenhithe, London EC4V 3DX</t>
        </is>
      </c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>
        <f>COUNTIFS('Door Schedule'!$P:$P,"B01",'Door Schedule'!$N:$N,"YES")</f>
        <v/>
      </c>
      <c r="D11" s="14" t="inlineStr">
        <is>
          <t>no</t>
        </is>
      </c>
      <c r="E11" s="41">
        <f>IFERROR(VLOOKUP("B01",'Rate Card'!$A:$H,8,FALSE()),0)</f>
        <v/>
      </c>
      <c r="F11" s="42">
        <f>IF(C11=0,0,C11*E11)</f>
        <v/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>
        <f>COUNTIFS('Door Schedule'!$P:$P,"B02",'Door Schedule'!$N:$N,"YES")</f>
        <v/>
      </c>
      <c r="D12" s="20" t="inlineStr">
        <is>
          <t>no</t>
        </is>
      </c>
      <c r="E12" s="48">
        <f>IFERROR(VLOOKUP("B02",'Rate Card'!$A:$H,8,FALSE()),0)</f>
        <v/>
      </c>
      <c r="F12" s="49">
        <f>IF(C12=0,0,C12*E12)</f>
        <v/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>
        <f>COUNTIFS('Door Schedule'!$P:$P,"B03",'Door Schedule'!$N:$N,"YES")</f>
        <v/>
      </c>
      <c r="D13" s="14" t="inlineStr">
        <is>
          <t>no</t>
        </is>
      </c>
      <c r="E13" s="41">
        <f>IFERROR(VLOOKUP("B03",'Rate Card'!$A:$H,8,FALSE()),0)</f>
        <v/>
      </c>
      <c r="F13" s="42">
        <f>IF(C13=0,0,C13*E13)</f>
        <v/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>
        <f>COUNTIFS('Door Schedule'!$P:$P,"B04",'Door Schedule'!$N:$N,"YES")</f>
        <v/>
      </c>
      <c r="D14" s="20" t="inlineStr">
        <is>
          <t>no</t>
        </is>
      </c>
      <c r="E14" s="48">
        <f>IFERROR(VLOOKUP("B04",'Rate Card'!$A:$H,8,FALSE()),0)</f>
        <v/>
      </c>
      <c r="F14" s="49">
        <f>IF(C14=0,0,C14*E14)</f>
        <v/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>
        <f>COUNTIFS('Door Schedule'!$P:$P,"B05",'Door Schedule'!$N:$N,"YES")</f>
        <v/>
      </c>
      <c r="D15" s="14" t="inlineStr">
        <is>
          <t>no</t>
        </is>
      </c>
      <c r="E15" s="41">
        <f>IFERROR(VLOOKUP("B05",'Rate Card'!$A:$H,8,FALSE()),0)</f>
        <v/>
      </c>
      <c r="F15" s="42">
        <f>IF(C15=0,0,C15*E15)</f>
        <v/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>
        <f>COUNTIFS('Door Schedule'!$P:$P,"B06",'Door Schedule'!$N:$N,"YES")</f>
        <v/>
      </c>
      <c r="D16" s="20" t="inlineStr">
        <is>
          <t>no</t>
        </is>
      </c>
      <c r="E16" s="48">
        <f>IFERROR(VLOOKUP("B06",'Rate Card'!$A:$H,8,FALSE()),0)</f>
        <v/>
      </c>
      <c r="F16" s="49">
        <f>IF(C16=0,0,C16*E16)</f>
        <v/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>
        <f>COUNTIFS('Door Schedule'!$P:$P,"B07",'Door Schedule'!$N:$N,"YES")</f>
        <v/>
      </c>
      <c r="D17" s="14" t="inlineStr">
        <is>
          <t>no</t>
        </is>
      </c>
      <c r="E17" s="41">
        <f>IFERROR(VLOOKUP("B07",'Rate Card'!$A:$H,8,FALSE()),0)</f>
        <v/>
      </c>
      <c r="F17" s="42">
        <f>IF(C17=0,0,C17*E17)</f>
        <v/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>
        <f>COUNTIFS('Door Schedule'!$P:$P,"B08",'Door Schedule'!$N:$N,"YES")</f>
        <v/>
      </c>
      <c r="D18" s="20" t="inlineStr">
        <is>
          <t>no</t>
        </is>
      </c>
      <c r="E18" s="48">
        <f>IFERROR(VLOOKUP("B08",'Rate Card'!$A:$H,8,FALSE()),0)</f>
        <v/>
      </c>
      <c r="F18" s="49">
        <f>IF(C18=0,0,C18*E18)</f>
        <v/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>
        <f>COUNTIFS('Door Schedule'!$P:$P,"B09",'Door Schedule'!$N:$N,"YES")</f>
        <v/>
      </c>
      <c r="D19" s="14" t="inlineStr">
        <is>
          <t>no</t>
        </is>
      </c>
      <c r="E19" s="41">
        <f>IFERROR(VLOOKUP("B09",'Rate Card'!$A:$H,8,FALSE()),0)</f>
        <v/>
      </c>
      <c r="F19" s="42">
        <f>IF(C19=0,0,C19*E19)</f>
        <v/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>
        <f>COUNTIFS('Door Schedule'!$P:$P,"B10",'Door Schedule'!$N:$N,"YES")</f>
        <v/>
      </c>
      <c r="D20" s="20" t="inlineStr">
        <is>
          <t>no</t>
        </is>
      </c>
      <c r="E20" s="48">
        <f>IFERROR(VLOOKUP("B10",'Rate Card'!$A:$H,8,FALSE()),0)</f>
        <v/>
      </c>
      <c r="F20" s="49">
        <f>IF(C20=0,0,C20*E20)</f>
        <v/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>
        <f>COUNTIFS('Door Schedule'!$P:$P,"B11",'Door Schedule'!$N:$N,"YES")</f>
        <v/>
      </c>
      <c r="D21" s="14" t="inlineStr">
        <is>
          <t>no</t>
        </is>
      </c>
      <c r="E21" s="41">
        <f>IFERROR(VLOOKUP("B11",'Rate Card'!$A:$H,8,FALSE()),0)</f>
        <v/>
      </c>
      <c r="F21" s="42">
        <f>IF(C21=0,0,C21*E21)</f>
        <v/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>
        <f>COUNTIFS('Door Schedule'!$P:$P,"B12",'Door Schedule'!$N:$N,"YES")</f>
        <v/>
      </c>
      <c r="D22" s="20" t="inlineStr">
        <is>
          <t>no</t>
        </is>
      </c>
      <c r="E22" s="48">
        <f>IFERROR(VLOOKUP("B12",'Rate Card'!$A:$H,8,FALSE()),0)</f>
        <v/>
      </c>
      <c r="F22" s="49">
        <f>IF(C22=0,0,C22*E22)</f>
        <v/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SUM(O11,O12,O13,O14,O15,O16,O17,O18,O19,O20,O21,O22,O43,O44,O45,O46,O47)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2026-03-19T04:59:29Z</dcterms:created>
  <dcterms:modified xmlns:dcterms="http://purl.org/dc/terms/" xmlns:xsi="http://www.w3.org/2001/XMLSchema-instance" xsi:type="dcterms:W3CDTF">2026-03-28T00:00:06Z</dcterms:modified>
  <cp:lastModifiedBy>Westley Harnett</cp:lastModifiedBy>
  <cp:revision>0</cp:revision>
</cp:coreProperties>
</file>